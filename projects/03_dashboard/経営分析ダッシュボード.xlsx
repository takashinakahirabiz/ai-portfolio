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f521ff49d142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cbc0dae3f2b4853"/>
    <x:sheet xmlns:r="http://schemas.openxmlformats.org/officeDocument/2006/relationships" name="Transactions" sheetId="2" r:id="Rfe3b5a24126c467a"/>
    <x:sheet xmlns:r="http://schemas.openxmlformats.org/officeDocument/2006/relationships" name="Customers" sheetId="3" r:id="R11e6142d09934fc3"/>
    <x:sheet xmlns:r="http://schemas.openxmlformats.org/officeDocument/2006/relationships" name="Divisions" sheetId="4" r:id="Ra14f3014327044b0"/>
    <x:sheet xmlns:r="http://schemas.openxmlformats.org/officeDocument/2006/relationships" name="Budget" sheetId="5" r:id="Rf12558abddb34c4f"/>
    <x:sheet xmlns:r="http://schemas.openxmlformats.org/officeDocument/2006/relationships" name="MonthlyCosts" sheetId="6" r:id="R4867c92411de42ff"/>
    <x:sheet xmlns:r="http://schemas.openxmlformats.org/officeDocument/2006/relationships" name="Analysis" sheetId="7" r:id="R3648dad128e84a38"/>
    <x:sheet xmlns:r="http://schemas.openxmlformats.org/officeDocument/2006/relationships" name="Validation" sheetId="8" r:id="Rf19c14f5b3e943e6"/>
    <x:sheet xmlns:r="http://schemas.openxmlformats.org/officeDocument/2006/relationships" name="Guide_AI_Log" sheetId="9" r:id="R2c9d743c722346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;[Red](0.0%);-"/>
    <x:numFmt numFmtId="201" formatCode="#,##0;[Red](#,##0);-"/>
    <x:numFmt numFmtId="202" formatCode="#,##0.0;[Red](#,##0.0);-"/>
  </x:numFmts>
  <x:fonts count="15">
    <x:font>
      <x:sz val="11"/>
      <x:name val="Carlito"/>
    </x:font>
    <x:font>
      <x:b/>
      <x:sz val="10"/>
      <x:color rgb="FFFFFFFF"/>
      <x:name val="Carlito"/>
    </x:font>
    <x:font>
      <x:sz val="11"/>
      <x:color rgb="FF214DCE"/>
      <x:name val="Carlito"/>
    </x:font>
    <x:font>
      <x:b/>
      <x:sz val="14"/>
      <x:color rgb="FFFFFFFF"/>
      <x:name val="Carlito"/>
    </x:font>
    <x:font>
      <x:b/>
      <x:sz val="21"/>
      <x:color rgb="FFFFFFFF"/>
      <x:name val="Carlito"/>
    </x:font>
    <x:font>
      <x:sz val="10"/>
      <x:color rgb="FFFFFFFF"/>
      <x:name val="Carlito"/>
    </x:font>
    <x:font>
      <x:b/>
      <x:sz val="12"/>
      <x:color rgb="FF214DCE"/>
      <x:name val="Carlito"/>
    </x:font>
    <x:font>
      <x:b/>
      <x:sz val="11"/>
      <x:color rgb="FF1E466B"/>
      <x:name val="Carlito"/>
    </x:font>
    <x:font>
      <x:b/>
      <x:sz val="25"/>
      <x:color rgb="FF142B46"/>
      <x:name val="Carlito"/>
    </x:font>
    <x:font>
      <x:b/>
      <x:sz val="11"/>
      <x:color rgb="FFFFFFFF"/>
      <x:name val="Carlito"/>
    </x:font>
    <x:font>
      <x:sz val="9"/>
      <x:color rgb="FF60758A"/>
      <x:name val="Carlito"/>
    </x:font>
    <x:font>
      <x:b/>
      <x:sz val="11"/>
      <x:color rgb="FF142B46"/>
      <x:name val="Carlito"/>
    </x:font>
    <x:font>
      <x:b/>
      <x:sz val="19"/>
      <x:color rgb="FFFFFFFF"/>
      <x:name val="Carlito"/>
    </x:font>
    <x:font>
      <x:b/>
      <x:sz val="13"/>
      <x:color rgb="FF087A45"/>
      <x:name val="Carlito"/>
    </x:font>
    <x:font>
      <x:sz val="10"/>
      <x:color rgb="FF172B4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E466B"/>
      </x:patternFill>
    </x:fill>
    <x:fill>
      <x:patternFill patternType="solid">
        <x:fgColor rgb="FF142B46"/>
      </x:patternFill>
    </x:fill>
    <x:fill>
      <x:patternFill patternType="solid">
        <x:fgColor rgb="FFFFF1C7"/>
      </x:patternFill>
    </x:fill>
    <x:fill>
      <x:patternFill patternType="solid">
        <x:fgColor rgb="FFE8F3F4"/>
      </x:patternFill>
    </x:fill>
    <x:fill>
      <x:patternFill patternType="solid">
        <x:fgColor rgb="FFF4F7FB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vertical="center"/>
    </x:xf>
    <x:xf numFmtId="201" fontId="8" fillId="6" borderId="0" xfId="0" applyNumberFormat="1" applyFont="1" applyFill="1" applyBorder="1" applyAlignment="1">
      <x:alignment vertical="center"/>
    </x:xf>
    <x:xf numFmtId="201" fontId="8" fillId="6" borderId="1" xfId="0" applyNumberFormat="1" applyFont="1" applyFill="1" applyBorder="1" applyAlignment="1">
      <x:alignment vertical="center"/>
    </x:xf>
    <x:xf numFmtId="200" fontId="8" fillId="6" borderId="0" xfId="0" applyNumberFormat="1" applyFont="1" applyFill="1" applyBorder="1" applyAlignment="1">
      <x:alignment vertical="center"/>
    </x:xf>
    <x:xf numFmtId="200" fontId="8" fillId="6" borderId="1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/>
    <x:xf numFmtId="0" fontId="9" fillId="3" borderId="1" xfId="0" applyNumberFormat="1" applyFont="1" applyFill="1" applyBorder="1"/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1" fillId="5" borderId="0" xfId="0" applyNumberFormat="1" applyFont="1" applyFill="1" applyBorder="1"/>
    <x:xf numFmtId="0" fontId="11" fillId="5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vertical="center"/>
    </x:xf>
    <x:xf numFmtId="0" fontId="12" fillId="3" borderId="1" xfId="0" applyNumberFormat="1" applyFont="1" applyFill="1" applyBorder="1"/>
    <x:xf numFmtId="0" fontId="12" fillId="3" borderId="1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/>
    <x:xf numFmtId="0" fontId="13" fillId="5" borderId="1" xfId="0" applyNumberFormat="1" applyFont="1" applyFill="1" applyBorder="1"/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C03944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63fec23ad0442c" /><Relationship Type="http://schemas.openxmlformats.org/officeDocument/2006/relationships/theme" Target="/xl/theme/theme1.xml" Id="Ra35e7653f29f4361" /><Relationship Type="http://schemas.openxmlformats.org/officeDocument/2006/relationships/sharedStrings" Target="/xl/sharedStrings.xml" Id="Rbe3cfd4b0d134c7d" /><Relationship Type="http://schemas.openxmlformats.org/officeDocument/2006/relationships/worksheet" Target="/xl/worksheets/sheet1.xml" Id="Recbc0dae3f2b4853" /><Relationship Type="http://schemas.openxmlformats.org/officeDocument/2006/relationships/worksheet" Target="/xl/worksheets/sheet2.xml" Id="Rfe3b5a24126c467a" /><Relationship Type="http://schemas.openxmlformats.org/officeDocument/2006/relationships/worksheet" Target="/xl/worksheets/sheet3.xml" Id="R11e6142d09934fc3" /><Relationship Type="http://schemas.openxmlformats.org/officeDocument/2006/relationships/worksheet" Target="/xl/worksheets/sheet4.xml" Id="Ra14f3014327044b0" /><Relationship Type="http://schemas.openxmlformats.org/officeDocument/2006/relationships/worksheet" Target="/xl/worksheets/sheet5.xml" Id="Rf12558abddb34c4f" /><Relationship Type="http://schemas.openxmlformats.org/officeDocument/2006/relationships/worksheet" Target="/xl/worksheets/sheet6.xml" Id="R4867c92411de42ff" /><Relationship Type="http://schemas.openxmlformats.org/officeDocument/2006/relationships/worksheet" Target="/xl/worksheets/sheet7.xml" Id="R3648dad128e84a38" /><Relationship Type="http://schemas.openxmlformats.org/officeDocument/2006/relationships/worksheet" Target="/xl/worksheets/sheet8.xml" Id="Rf19c14f5b3e943e6" /><Relationship Type="http://schemas.openxmlformats.org/officeDocument/2006/relationships/worksheet" Target="/xl/worksheets/sheet9.xml" Id="R2c9d743c722346f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66c6155c99c4c7a" /><Relationship Type="http://schemas.openxmlformats.org/officeDocument/2006/relationships/chart" Target="/xl/drawings/charts/chart2.xml" Id="R3cb638236651498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実績</c:v>
          </c:tx>
          <c:marker>
            <c:symbol val="none"/>
          </c:marker>
          <c:cat>
            <c:strRef>
              <c:f>'Dashboard'!$A$42:$A$53</c:f>
              <c:strCache>
                <c:ptCount val="0"/>
              </c:strCache>
            </c:strRef>
          </c:cat>
          <c:val>
            <c:numRef>
              <c:f>'Dashboard'!$B$42:$B$53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予算</c:v>
          </c:tx>
          <c:marker>
            <c:symbol val="none"/>
          </c:marker>
          <c:cat>
            <c:strRef>
              <c:f>'Dashboard'!$A$42:$A$53</c:f>
              <c:strCache>
                <c:ptCount val="0"/>
              </c:strCache>
            </c:strRef>
          </c:cat>
          <c:val>
            <c:numRef>
              <c:f>'Dashboard'!$C$42:$C$53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営業利益</c:v>
          </c:tx>
          <c:cat>
            <c:strRef>
              <c:f>'Dashboard'!$K$42:$K$44</c:f>
              <c:strCache>
                <c:ptCount val="0"/>
              </c:strCache>
            </c:strRef>
          </c:cat>
          <c:val>
            <c:numRef>
              <c:f>'Dashboard'!$M$42:$M$44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10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6c6155c99c4c7a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16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b638236651498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Transactions" displayName="tblTransactions" ref="A1:M609" headerRowCount="1" totalsRowCount="0" totalsRowShown="0">
  <x:tableColumns count="13">
    <x:tableColumn id="1" name="取引ID"/>
    <x:tableColumn id="2" name="月"/>
    <x:tableColumn id="3" name="顧客ID"/>
    <x:tableColumn id="4" name="部門ID"/>
    <x:tableColumn id="5" name="四半期"/>
    <x:tableColumn id="6" name="契約区分"/>
    <x:tableColumn id="7" name="サービス"/>
    <x:tableColumn id="8" name="売上高（円）"/>
    <x:tableColumn id="9" name="外注費（円）"/>
    <x:tableColumn id="10" name="ライセンス費（円）"/>
    <x:tableColumn id="11" name="その他変動費（円）"/>
    <x:tableColumn id="12" name="変動費計（円）"/>
    <x:tableColumn id="13" name="限界利益（円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Customers" displayName="tblCustomers" ref="A1:J46" headerRowCount="1" totalsRowCount="0" totalsRowShown="0">
  <x:tableColumns count="10">
    <x:tableColumn id="1" name="顧客ID"/>
    <x:tableColumn id="2" name="顧客名（完全架空）"/>
    <x:tableColumn id="3" name="主担当部門"/>
    <x:tableColumn id="4" name="顧客区分"/>
    <x:tableColumn id="5" name="契約形態"/>
    <x:tableColumn id="6" name="地域"/>
    <x:tableColumn id="7" name="備考"/>
    <x:tableColumn id="8" name="選択期間売上（円）"/>
    <x:tableColumn id="9" name="選択期間限界利益（円）"/>
    <x:tableColumn id="10" name="売上構成比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Budget" displayName="tblBudget" ref="A1:I37" headerRowCount="1" totalsRowCount="0" totalsRowShown="0">
  <x:tableColumns count="9">
    <x:tableColumn id="1" name="月"/>
    <x:tableColumn id="2" name="四半期"/>
    <x:tableColumn id="3" name="部門ID"/>
    <x:tableColumn id="4" name="売上予算（円）"/>
    <x:tableColumn id="5" name="予定変動費率"/>
    <x:tableColumn id="6" name="予定変動費（円）"/>
    <x:tableColumn id="7" name="部門固定費予算（円）"/>
    <x:tableColumn id="8" name="共通費配賦予算（円）"/>
    <x:tableColumn id="9" name="利益予算（円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Costs" displayName="tblCosts" ref="A1:F49" headerRowCount="1" totalsRowCount="0" totalsRowShown="0">
  <x:tableColumns count="6">
    <x:tableColumn id="1" name="月"/>
    <x:tableColumn id="2" name="四半期"/>
    <x:tableColumn id="3" name="部門ID"/>
    <x:tableColumn id="4" name="人件費（円）"/>
    <x:tableColumn id="5" name="その他固定費（円）"/>
    <x:tableColumn id="6" name="固定費合計（円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99f2bfc0b4c45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4ee8b1c2b742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8e45eab9de4d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4fc54eab3464b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d432d2ce7524042" /></Relationships>
</file>

<file path=xl/worksheets/sheet1.xml><?xml version="1.0" encoding="utf-8"?>
<x:worksheet xmlns:x="http://schemas.openxmlformats.org/spreadsheetml/2006/main">
  <x:sheetFormatPr defaultRowHeight="15"/>
  <x:cols>
    <x:col min="1" max="1" width="12.5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  <x:col min="13" max="13" width="12.5" hidden="0" customWidth="1"/>
    <x:col min="14" max="14" width="12.5" hidden="0" customWidth="1"/>
    <x:col min="15" max="15" width="12.5" hidden="0" customWidth="1"/>
    <x:col min="16" max="16" width="12.5" hidden="0" customWidth="1"/>
  </x:cols>
  <x:sheetData>
    <x:row r="1" ht="25" customHeight="1">
      <x:c r="A1" s="25" t="str">
        <x:v>NBS-50   |   EXECUTIVE DASHBOARD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</x:row>
    <x:row r="2" ht="25" customHeight="1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 ht="23" customHeight="1">
      <x:c r="A3" s="28" t="str">
        <x:v>FY2025  |  完全架空のBtoBサービス企業  |  従業員50名 / 3事業部  |  単位：百万円（KPIは円）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</x:row>
    <x:row r="4" ht="30" customHeight="1">
      <x:c r="A4" t="str">
        <x:v>事業部</x:v>
      </x:c>
      <x:c r="B4" s="32" t="str">
        <x:v>全部門</x:v>
      </x:c>
      <x:c r="C4" s="32"/>
      <x:c r="D4" s="32"/>
      <x:c r="K4" t="str">
        <x:v>対象期間</x:v>
      </x:c>
      <x:c r="L4" s="32" t="str">
        <x:v>通期</x:v>
      </x:c>
      <x:c r="M4" s="32"/>
      <x:c r="N4" s="32"/>
    </x:row>
    <x:row r="6" ht="27" customHeight="1">
      <x:c r="A6" s="37" t="str">
        <x:v>売上高</x:v>
      </x:c>
      <x:c r="B6" s="37"/>
      <x:c r="C6" s="37"/>
      <x:c r="D6" s="37"/>
      <x:c r="E6" s="37" t="str">
        <x:v>営業利益</x:v>
      </x:c>
      <x:c r="F6" s="37"/>
      <x:c r="G6" s="37"/>
      <x:c r="H6" s="37"/>
      <x:c r="I6" s="37" t="str">
        <x:v>営業利益率</x:v>
      </x:c>
      <x:c r="J6" s="37"/>
      <x:c r="K6" s="37"/>
      <x:c r="L6" s="37"/>
      <x:c r="M6" s="37" t="str">
        <x:v>売上予算達成率</x:v>
      </x:c>
      <x:c r="N6" s="37"/>
      <x:c r="O6" s="37"/>
      <x:c r="P6" s="37"/>
    </x:row>
    <x:row r="8" ht="25" customHeight="1">
      <x:c r="A8" s="46" t="n">
        <x:f>IF($B$4="全部門",IF($L$4="通期",SUM(Analysis!$D$5:$D$40),SUMIF(Analysis!$C$5:$C$40,$L$4,Analysis!$D$5:$D$40)),IF($L$4="通期",SUMIF(Analysis!$B$5:$B$40,$B$4,Analysis!$D$5:$D$40),SUMIFS(Analysis!$D$5:$D$40,Analysis!$B$5:$B$40,$B$4,Analysis!$C$5:$C$40,$L$4)))</x:f>
        <x:v>630867000</x:v>
      </x:c>
      <x:c r="B8" s="42"/>
      <x:c r="C8" s="42"/>
      <x:c r="D8" s="42"/>
      <x:c r="E8" s="46" t="n">
        <x:f>IF($B$4="全部門",IF($L$4="通期",SUM(Analysis!$I$5:$I$40),SUMIF(Analysis!$C$5:$C$40,$L$4,Analysis!$I$5:$I$40)),IF($L$4="通期",SUMIF(Analysis!$B$5:$B$40,$B$4,Analysis!$I$5:$I$40),SUMIFS(Analysis!$I$5:$I$40,Analysis!$B$5:$B$40,$B$4,Analysis!$C$5:$C$40,$L$4)))</x:f>
        <x:v>29759000</x:v>
      </x:c>
      <x:c r="F8" s="42"/>
      <x:c r="G8" s="42"/>
      <x:c r="H8" s="42"/>
      <x:c r="I8" s="48" t="n">
        <x:f>IFERROR(E8/A8,0)</x:f>
        <x:v>0.04717159084244381</x:v>
      </x:c>
      <x:c r="J8" s="42"/>
      <x:c r="K8" s="42"/>
      <x:c r="L8" s="42"/>
      <x:c r="M8" s="48" t="n">
        <x:f>IFERROR(A8/(IF($B$4="全部門",IF($L$4="通期",SUM(Analysis!$J$5:$J$40),SUMIF(Analysis!$C$5:$C$40,$L$4,Analysis!$J$5:$J$40)),IF($L$4="通期",SUMIF(Analysis!$B$5:$B$40,$B$4,Analysis!$J$5:$J$40),SUMIFS(Analysis!$J$5:$J$40,Analysis!$B$5:$B$40,$B$4,Analysis!$C$5:$C$40,$L$4)))),0)</x:f>
        <x:v>0.8902340073350427</x:v>
      </x:c>
      <x:c r="N8" s="42"/>
      <x:c r="O8" s="42"/>
      <x:c r="P8" s="42"/>
    </x:row>
    <x:row r="9" ht="25" customHeight="1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</x:row>
    <x:row r="11" ht="24" customHeight="1">
      <x:c r="A11" s="50" t="str">
        <x:v>DECISION SIGNALS     /     経営リスクの確認</x:v>
      </x:c>
      <x:c r="B11" s="50"/>
      <x:c r="C11" s="50"/>
      <x:c r="D11" s="50"/>
      <x:c r="E11" s="50"/>
      <x:c r="F11" s="50"/>
      <x:c r="G11" s="50"/>
      <x:c r="H11" s="50"/>
      <x:c r="I11" s="50"/>
      <x:c r="J11" s="50"/>
      <x:c r="K11" s="50"/>
      <x:c r="L11" s="50"/>
      <x:c r="M11" s="50"/>
      <x:c r="N11" s="50"/>
      <x:c r="O11" s="50"/>
      <x:c r="P11" s="50"/>
    </x:row>
    <x:row r="12">
      <x:c r="A12" t="str">
        <x:v>売上上位5顧客構成比</x:v>
      </x:c>
      <x:c r="G12" s="10" t="n">
        <x:f>IFERROR(SUM($D$60:$D$64)*1000000/$A$8,0)</x:f>
        <x:v>0.27892883920065553</x:v>
      </x:c>
      <x:c r="K12" t="str">
        <x:v>契約集中リスク（数値で判定）</x:v>
      </x:c>
    </x:row>
    <x:row r="13">
      <x:c r="A13" t="str">
        <x:v>予算差異（売上高）</x:v>
      </x:c>
      <x:c r="K13" s="14" t="n">
        <x:f>A8-(IF($B$4="全部門",IF($L$4="通期",SUM(Analysis!$J$5:$J$40),SUMIF(Analysis!$C$5:$C$40,$L$4,Analysis!$J$5:$J$40)),IF($L$4="通期",SUMIF(Analysis!$B$5:$B$40,$B$4,Analysis!$J$5:$J$40),SUMIFS(Analysis!$J$5:$J$40,Analysis!$B$5:$B$40,$B$4,Analysis!$C$5:$C$40,$L$4))))</x:f>
        <x:v>-77786000</x:v>
      </x:c>
    </x:row>
    <x:row r="14" ht="20" customHeight="1">
      <x:c r="A14" s="52" t="str">
        <x:v>※事業部／対象期間は上部セルで変更可能。顧客ランキングも選択条件に連動します。</x:v>
      </x:c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</x:row>
    <x:row r="18" ht="24" customHeight="1">
      <x:c r="A18" s="54" t="str">
        <x:v>MONTHLY TREND  /  売上実績と予算（百万円）</x:v>
      </x:c>
      <x:c r="B18" s="54"/>
      <x:c r="C18" s="54"/>
      <x:c r="D18" s="54"/>
      <x:c r="E18" s="54"/>
      <x:c r="F18" s="54"/>
      <x:c r="G18" s="54"/>
      <x:c r="H18" s="54"/>
      <x:c r="I18" s="54"/>
      <x:c r="J18" s="54"/>
      <x:c r="K18" s="54" t="str">
        <x:v>DIVISION PERFORMANCE  /  営業利益（百万円）</x:v>
      </x:c>
      <x:c r="L18" s="54"/>
      <x:c r="M18" s="54"/>
      <x:c r="N18" s="54"/>
      <x:c r="O18" s="54"/>
      <x:c r="P18" s="54"/>
    </x:row>
    <x:row r="39" ht="24" customHeight="1">
      <x:c r="A39" s="50" t="str">
        <x:v>SUPPORTING TABLES  /  グラフの集計元データ（自動更新）</x:v>
      </x:c>
      <x:c r="B39" s="50"/>
      <x:c r="C39" s="50"/>
      <x:c r="D39" s="50"/>
      <x:c r="E39" s="50"/>
      <x:c r="F39" s="50"/>
      <x:c r="G39" s="50"/>
      <x:c r="H39" s="50"/>
      <x:c r="I39" s="50"/>
      <x:c r="J39" s="50"/>
      <x:c r="K39" s="50"/>
      <x:c r="L39" s="50"/>
      <x:c r="M39" s="50"/>
      <x:c r="N39" s="50"/>
      <x:c r="O39" s="50"/>
      <x:c r="P39" s="50"/>
    </x:row>
    <x:row r="41" ht="26" customHeight="1">
      <x:c r="A41" s="5" t="str">
        <x:v>月</x:v>
      </x:c>
      <x:c r="B41" s="5" t="str">
        <x:v>実績（百万円）</x:v>
      </x:c>
      <x:c r="C41" s="5" t="str">
        <x:v>予算（百万円）</x:v>
      </x:c>
      <x:c r="D41" s="5" t="str">
        <x:v>営業利益（百万円）</x:v>
      </x:c>
      <x:c r="K41" s="5" t="str">
        <x:v>事業部</x:v>
      </x:c>
      <x:c r="L41" s="5" t="str">
        <x:v>売上（百万円）</x:v>
      </x:c>
      <x:c r="M41" s="5" t="str">
        <x:v>利益（百万円）</x:v>
      </x:c>
      <x:c r="N41" s="5" t="str">
        <x:v>利益率</x:v>
      </x:c>
      <x:c r="O41" s="5" t="str">
        <x:v>予算達成率</x:v>
      </x:c>
    </x:row>
    <x:row r="42">
      <x:c r="A42" t="str">
        <x:v>1月</x:v>
      </x:c>
      <x:c r="B42" s="56" t="n">
        <x:f>IF($B$4="全部門",SUMIF(Analysis!$A$5:$A$40,1,Analysis!$D$5:$D$40),SUMIFS(Analysis!$D$5:$D$40,Analysis!$A$5:$A$40,1,Analysis!$B$5:$B$40,$B$4))/1000000</x:f>
        <x:v>46.375</x:v>
      </x:c>
      <x:c r="C42" s="56" t="n">
        <x:f>IF($B$4="全部門",SUMIF(Analysis!$A$5:$A$40,1,Analysis!$J$5:$J$40),SUMIFS(Analysis!$J$5:$J$40,Analysis!$A$5:$A$40,1,Analysis!$B$5:$B$40,$B$4))/1000000</x:f>
        <x:v>55.38</x:v>
      </x:c>
      <x:c r="D42" s="56" t="n">
        <x:f>IF($B$4="全部門",SUMIF(Analysis!$A$5:$A$40,1,Analysis!$I$5:$I$40),SUMIFS(Analysis!$I$5:$I$40,Analysis!$A$5:$A$40,1,Analysis!$B$5:$B$40,$B$4))/1000000</x:f>
        <x:v>-0.527</x:v>
      </x:c>
      <x:c r="K42" t="str">
        <x:v>IT</x:v>
      </x:c>
      <x:c r="L42" s="56" t="n">
        <x:f>IF($L$4="通期",SUMIF(Analysis!$B$5:$B$40,K42,Analysis!$D$5:$D$40),SUMIFS(Analysis!$D$5:$D$40,Analysis!$B$5:$B$40,K42,Analysis!$C$5:$C$40,$L$4))/1000000</x:f>
        <x:v>286.325</x:v>
      </x:c>
      <x:c r="M42" s="56" t="n">
        <x:f>IF($L$4="通期",SUMIF(Analysis!$B$5:$B$40,K42,Analysis!$I$5:$I$40),SUMIFS(Analysis!$I$5:$I$40,Analysis!$B$5:$B$40,K42,Analysis!$C$5:$C$40,$L$4))/1000000</x:f>
        <x:v>0.785556</x:v>
      </x:c>
      <x:c r="N42" s="10" t="n">
        <x:f>IFERROR(M42/L42,0)</x:f>
        <x:v>0.002743581594342094</x:v>
      </x:c>
      <x:c r="O42" s="10" t="n">
        <x:f>IFERROR(L42*1000000/IF($L$4="通期",SUMIF(Analysis!$B$5:$B$40,K42,Analysis!$J$5:$J$40),SUMIFS(Analysis!$J$5:$J$40,Analysis!$B$5:$B$40,K42,Analysis!$C$5:$C$40,$L$4)),0)</x:f>
        <x:v>0.8559023107045706</x:v>
      </x:c>
    </x:row>
    <x:row r="43">
      <x:c r="A43" t="str">
        <x:v>2月</x:v>
      </x:c>
      <x:c r="B43" s="56" t="n">
        <x:f>IF($B$4="全部門",SUMIF(Analysis!$A$5:$A$40,2,Analysis!$D$5:$D$40),SUMIFS(Analysis!$D$5:$D$40,Analysis!$A$5:$A$40,2,Analysis!$B$5:$B$40,$B$4))/1000000</x:f>
        <x:v>45.756</x:v>
      </x:c>
      <x:c r="C43" s="56" t="n">
        <x:f>IF($B$4="全部門",SUMIF(Analysis!$A$5:$A$40,2,Analysis!$J$5:$J$40),SUMIFS(Analysis!$J$5:$J$40,Analysis!$A$5:$A$40,2,Analysis!$B$5:$B$40,$B$4))/1000000</x:f>
        <x:v>55.38</x:v>
      </x:c>
      <x:c r="D43" s="56" t="n">
        <x:f>IF($B$4="全部門",SUMIF(Analysis!$A$5:$A$40,2,Analysis!$I$5:$I$40),SUMIFS(Analysis!$I$5:$I$40,Analysis!$A$5:$A$40,2,Analysis!$B$5:$B$40,$B$4))/1000000</x:f>
        <x:v>-0.89</x:v>
      </x:c>
      <x:c r="K43" t="str">
        <x:v>BPO</x:v>
      </x:c>
      <x:c r="L43" s="56" t="n">
        <x:f>IF($L$4="通期",SUMIF(Analysis!$B$5:$B$40,K43,Analysis!$D$5:$D$40),SUMIFS(Analysis!$D$5:$D$40,Analysis!$B$5:$B$40,K43,Analysis!$C$5:$C$40,$L$4))/1000000</x:f>
        <x:v>238.96</x:v>
      </x:c>
      <x:c r="M43" s="56" t="n">
        <x:f>IF($L$4="通期",SUMIF(Analysis!$B$5:$B$40,K43,Analysis!$I$5:$I$40),SUMIFS(Analysis!$I$5:$I$40,Analysis!$B$5:$B$40,K43,Analysis!$C$5:$C$40,$L$4))/1000000</x:f>
        <x:v>28.615667</x:v>
      </x:c>
      <x:c r="N43" s="10" t="n">
        <x:f>IFERROR(M43/L43,0)</x:f>
        <x:v>0.11975086625376631</x:v>
      </x:c>
      <x:c r="O43" s="10" t="n">
        <x:f>IFERROR(L43*1000000/IF($L$4="通期",SUMIF(Analysis!$B$5:$B$40,K43,Analysis!$J$5:$J$40),SUMIFS(Analysis!$J$5:$J$40,Analysis!$B$5:$B$40,K43,Analysis!$C$5:$C$40,$L$4)),0)</x:f>
        <x:v>0.9482539682539682</x:v>
      </x:c>
    </x:row>
    <x:row r="44">
      <x:c r="A44" t="str">
        <x:v>3月</x:v>
      </x:c>
      <x:c r="B44" s="56" t="n">
        <x:f>IF($B$4="全部門",SUMIF(Analysis!$A$5:$A$40,3,Analysis!$D$5:$D$40),SUMIFS(Analysis!$D$5:$D$40,Analysis!$A$5:$A$40,3,Analysis!$B$5:$B$40,$B$4))/1000000</x:f>
        <x:v>56.94</x:v>
      </x:c>
      <x:c r="C44" s="56" t="n">
        <x:f>IF($B$4="全部門",SUMIF(Analysis!$A$5:$A$40,3,Analysis!$J$5:$J$40),SUMIFS(Analysis!$J$5:$J$40,Analysis!$A$5:$A$40,3,Analysis!$B$5:$B$40,$B$4))/1000000</x:f>
        <x:v>60.526</x:v>
      </x:c>
      <x:c r="D44" s="56" t="n">
        <x:f>IF($B$4="全部門",SUMIF(Analysis!$A$5:$A$40,3,Analysis!$I$5:$I$40),SUMIFS(Analysis!$I$5:$I$40,Analysis!$A$5:$A$40,3,Analysis!$B$5:$B$40,$B$4))/1000000</x:f>
        <x:v>7.443</x:v>
      </x:c>
      <x:c r="K44" t="str">
        <x:v>TRN</x:v>
      </x:c>
      <x:c r="L44" s="56" t="n">
        <x:f>IF($L$4="通期",SUMIF(Analysis!$B$5:$B$40,K44,Analysis!$D$5:$D$40),SUMIFS(Analysis!$D$5:$D$40,Analysis!$B$5:$B$40,K44,Analysis!$C$5:$C$40,$L$4))/1000000</x:f>
        <x:v>105.582</x:v>
      </x:c>
      <x:c r="M44" s="56" t="n">
        <x:f>IF($L$4="通期",SUMIF(Analysis!$B$5:$B$40,K44,Analysis!$I$5:$I$40),SUMIFS(Analysis!$I$5:$I$40,Analysis!$B$5:$B$40,K44,Analysis!$C$5:$C$40,$L$4))/1000000</x:f>
        <x:v>0.357777</x:v>
      </x:c>
      <x:c r="N44" s="10" t="n">
        <x:f>IFERROR(M44/L44,0)</x:f>
        <x:v>0.003388617377962153</x:v>
      </x:c>
      <x:c r="O44" s="10" t="n">
        <x:f>IFERROR(L44*1000000/IF($L$4="通期",SUMIF(Analysis!$B$5:$B$40,K44,Analysis!$J$5:$J$40),SUMIFS(Analysis!$J$5:$J$40,Analysis!$B$5:$B$40,K44,Analysis!$C$5:$C$40,$L$4)),0)</x:f>
        <x:v>0.8645545884067702</x:v>
      </x:c>
    </x:row>
    <x:row r="45">
      <x:c r="A45" t="str">
        <x:v>4月</x:v>
      </x:c>
      <x:c r="B45" s="56" t="n">
        <x:f>IF($B$4="全部門",SUMIF(Analysis!$A$5:$A$40,4,Analysis!$D$5:$D$40),SUMIFS(Analysis!$D$5:$D$40,Analysis!$A$5:$A$40,4,Analysis!$B$5:$B$40,$B$4))/1000000</x:f>
        <x:v>45.928</x:v>
      </x:c>
      <x:c r="C45" s="56" t="n">
        <x:f>IF($B$4="全部門",SUMIF(Analysis!$A$5:$A$40,4,Analysis!$J$5:$J$40),SUMIFS(Analysis!$J$5:$J$40,Analysis!$A$5:$A$40,4,Analysis!$B$5:$B$40,$B$4))/1000000</x:f>
        <x:v>59.21</x:v>
      </x:c>
      <x:c r="D45" s="56" t="n">
        <x:f>IF($B$4="全部門",SUMIF(Analysis!$A$5:$A$40,4,Analysis!$I$5:$I$40),SUMIFS(Analysis!$I$5:$I$40,Analysis!$A$5:$A$40,4,Analysis!$B$5:$B$40,$B$4))/1000000</x:f>
        <x:v>-0.196</x:v>
      </x:c>
    </x:row>
    <x:row r="46">
      <x:c r="A46" t="str">
        <x:v>5月</x:v>
      </x:c>
      <x:c r="B46" s="56" t="n">
        <x:f>IF($B$4="全部門",SUMIF(Analysis!$A$5:$A$40,5,Analysis!$D$5:$D$40),SUMIFS(Analysis!$D$5:$D$40,Analysis!$A$5:$A$40,5,Analysis!$B$5:$B$40,$B$4))/1000000</x:f>
        <x:v>63.063</x:v>
      </x:c>
      <x:c r="C46" s="56" t="n">
        <x:f>IF($B$4="全部門",SUMIF(Analysis!$A$5:$A$40,5,Analysis!$J$5:$J$40),SUMIFS(Analysis!$J$5:$J$40,Analysis!$A$5:$A$40,5,Analysis!$B$5:$B$40,$B$4))/1000000</x:f>
        <x:v>59.577</x:v>
      </x:c>
      <x:c r="D46" s="56" t="n">
        <x:f>IF($B$4="全部門",SUMIF(Analysis!$A$5:$A$40,5,Analysis!$I$5:$I$40),SUMIFS(Analysis!$I$5:$I$40,Analysis!$A$5:$A$40,5,Analysis!$B$5:$B$40,$B$4))/1000000</x:f>
        <x:v>11.145</x:v>
      </x:c>
    </x:row>
    <x:row r="47">
      <x:c r="A47" t="str">
        <x:v>6月</x:v>
      </x:c>
      <x:c r="B47" s="56" t="n">
        <x:f>IF($B$4="全部門",SUMIF(Analysis!$A$5:$A$40,6,Analysis!$D$5:$D$40),SUMIFS(Analysis!$D$5:$D$40,Analysis!$A$5:$A$40,6,Analysis!$B$5:$B$40,$B$4))/1000000</x:f>
        <x:v>51.755</x:v>
      </x:c>
      <x:c r="C47" s="56" t="n">
        <x:f>IF($B$4="全部門",SUMIF(Analysis!$A$5:$A$40,6,Analysis!$J$5:$J$40),SUMIFS(Analysis!$J$5:$J$40,Analysis!$A$5:$A$40,6,Analysis!$B$5:$B$40,$B$4))/1000000</x:f>
        <x:v>57.118</x:v>
      </x:c>
      <x:c r="D47" s="56" t="n">
        <x:f>IF($B$4="全部門",SUMIF(Analysis!$A$5:$A$40,6,Analysis!$I$5:$I$40),SUMIFS(Analysis!$I$5:$I$40,Analysis!$A$5:$A$40,6,Analysis!$B$5:$B$40,$B$4))/1000000</x:f>
        <x:v>2.933</x:v>
      </x:c>
    </x:row>
    <x:row r="48">
      <x:c r="A48" t="str">
        <x:v>7月</x:v>
      </x:c>
      <x:c r="B48" s="56" t="n">
        <x:f>IF($B$4="全部門",SUMIF(Analysis!$A$5:$A$40,7,Analysis!$D$5:$D$40),SUMIFS(Analysis!$D$5:$D$40,Analysis!$A$5:$A$40,7,Analysis!$B$5:$B$40,$B$4))/1000000</x:f>
        <x:v>48.026</x:v>
      </x:c>
      <x:c r="C48" s="56" t="n">
        <x:f>IF($B$4="全部門",SUMIF(Analysis!$A$5:$A$40,7,Analysis!$J$5:$J$40),SUMIFS(Analysis!$J$5:$J$40,Analysis!$A$5:$A$40,7,Analysis!$B$5:$B$40,$B$4))/1000000</x:f>
        <x:v>57.409</x:v>
      </x:c>
      <x:c r="D48" s="56" t="n">
        <x:f>IF($B$4="全部門",SUMIF(Analysis!$A$5:$A$40,7,Analysis!$I$5:$I$40),SUMIFS(Analysis!$I$5:$I$40,Analysis!$A$5:$A$40,7,Analysis!$B$5:$B$40,$B$4))/1000000</x:f>
        <x:v>-1.165</x:v>
      </x:c>
    </x:row>
    <x:row r="49">
      <x:c r="A49" t="str">
        <x:v>8月</x:v>
      </x:c>
      <x:c r="B49" s="56" t="n">
        <x:f>IF($B$4="全部門",SUMIF(Analysis!$A$5:$A$40,8,Analysis!$D$5:$D$40),SUMIFS(Analysis!$D$5:$D$40,Analysis!$A$5:$A$40,8,Analysis!$B$5:$B$40,$B$4))/1000000</x:f>
        <x:v>50.293</x:v>
      </x:c>
      <x:c r="C49" s="56" t="n">
        <x:f>IF($B$4="全部門",SUMIF(Analysis!$A$5:$A$40,8,Analysis!$J$5:$J$40),SUMIFS(Analysis!$J$5:$J$40,Analysis!$A$5:$A$40,8,Analysis!$B$5:$B$40,$B$4))/1000000</x:f>
        <x:v>57.603</x:v>
      </x:c>
      <x:c r="D49" s="56" t="n">
        <x:f>IF($B$4="全部門",SUMIF(Analysis!$A$5:$A$40,8,Analysis!$I$5:$I$40),SUMIFS(Analysis!$I$5:$I$40,Analysis!$A$5:$A$40,8,Analysis!$B$5:$B$40,$B$4))/1000000</x:f>
        <x:v>0.4</x:v>
      </x:c>
    </x:row>
    <x:row r="50">
      <x:c r="A50" t="str">
        <x:v>9月</x:v>
      </x:c>
      <x:c r="B50" s="56" t="n">
        <x:f>IF($B$4="全部門",SUMIF(Analysis!$A$5:$A$40,9,Analysis!$D$5:$D$40),SUMIFS(Analysis!$D$5:$D$40,Analysis!$A$5:$A$40,9,Analysis!$B$5:$B$40,$B$4))/1000000</x:f>
        <x:v>55.726</x:v>
      </x:c>
      <x:c r="C50" s="56" t="n">
        <x:f>IF($B$4="全部門",SUMIF(Analysis!$A$5:$A$40,9,Analysis!$J$5:$J$40),SUMIFS(Analysis!$J$5:$J$40,Analysis!$A$5:$A$40,9,Analysis!$B$5:$B$40,$B$4))/1000000</x:f>
        <x:v>59.978</x:v>
      </x:c>
      <x:c r="D50" s="56" t="n">
        <x:f>IF($B$4="全部門",SUMIF(Analysis!$A$5:$A$40,9,Analysis!$I$5:$I$40),SUMIFS(Analysis!$I$5:$I$40,Analysis!$A$5:$A$40,9,Analysis!$B$5:$B$40,$B$4))/1000000</x:f>
        <x:v>4.121</x:v>
      </x:c>
    </x:row>
    <x:row r="51">
      <x:c r="A51" t="str">
        <x:v>10月</x:v>
      </x:c>
      <x:c r="B51" s="56" t="n">
        <x:f>IF($B$4="全部門",SUMIF(Analysis!$A$5:$A$40,10,Analysis!$D$5:$D$40),SUMIFS(Analysis!$D$5:$D$40,Analysis!$A$5:$A$40,10,Analysis!$B$5:$B$40,$B$4))/1000000</x:f>
        <x:v>66.378</x:v>
      </x:c>
      <x:c r="C51" s="56" t="n">
        <x:f>IF($B$4="全部門",SUMIF(Analysis!$A$5:$A$40,10,Analysis!$J$5:$J$40),SUMIFS(Analysis!$J$5:$J$40,Analysis!$A$5:$A$40,10,Analysis!$B$5:$B$40,$B$4))/1000000</x:f>
        <x:v>61.682</x:v>
      </x:c>
      <x:c r="D51" s="56" t="n">
        <x:f>IF($B$4="全部門",SUMIF(Analysis!$A$5:$A$40,10,Analysis!$I$5:$I$40),SUMIFS(Analysis!$I$5:$I$40,Analysis!$A$5:$A$40,10,Analysis!$B$5:$B$40,$B$4))/1000000</x:f>
        <x:v>9.157</x:v>
      </x:c>
    </x:row>
    <x:row r="52">
      <x:c r="A52" t="str">
        <x:v>11月</x:v>
      </x:c>
      <x:c r="B52" s="56" t="n">
        <x:f>IF($B$4="全部門",SUMIF(Analysis!$A$5:$A$40,11,Analysis!$D$5:$D$40),SUMIFS(Analysis!$D$5:$D$40,Analysis!$A$5:$A$40,11,Analysis!$B$5:$B$40,$B$4))/1000000</x:f>
        <x:v>47.087</x:v>
      </x:c>
      <x:c r="C52" s="56" t="n">
        <x:f>IF($B$4="全部門",SUMIF(Analysis!$A$5:$A$40,11,Analysis!$J$5:$J$40),SUMIFS(Analysis!$J$5:$J$40,Analysis!$A$5:$A$40,11,Analysis!$B$5:$B$40,$B$4))/1000000</x:f>
        <x:v>61.682</x:v>
      </x:c>
      <x:c r="D52" s="56" t="n">
        <x:f>IF($B$4="全部門",SUMIF(Analysis!$A$5:$A$40,11,Analysis!$I$5:$I$40),SUMIFS(Analysis!$I$5:$I$40,Analysis!$A$5:$A$40,11,Analysis!$B$5:$B$40,$B$4))/1000000</x:f>
        <x:v>-3.68</x:v>
      </x:c>
    </x:row>
    <x:row r="53">
      <x:c r="A53" t="str">
        <x:v>12月</x:v>
      </x:c>
      <x:c r="B53" s="56" t="n">
        <x:f>IF($B$4="全部門",SUMIF(Analysis!$A$5:$A$40,12,Analysis!$D$5:$D$40),SUMIFS(Analysis!$D$5:$D$40,Analysis!$A$5:$A$40,12,Analysis!$B$5:$B$40,$B$4))/1000000</x:f>
        <x:v>53.54</x:v>
      </x:c>
      <x:c r="C53" s="56" t="n">
        <x:f>IF($B$4="全部門",SUMIF(Analysis!$A$5:$A$40,12,Analysis!$J$5:$J$40),SUMIFS(Analysis!$J$5:$J$40,Analysis!$A$5:$A$40,12,Analysis!$B$5:$B$40,$B$4))/1000000</x:f>
        <x:v>63.108</x:v>
      </x:c>
      <x:c r="D53" s="56" t="n">
        <x:f>IF($B$4="全部門",SUMIF(Analysis!$A$5:$A$40,12,Analysis!$I$5:$I$40),SUMIFS(Analysis!$I$5:$I$40,Analysis!$A$5:$A$40,12,Analysis!$B$5:$B$40,$B$4))/1000000</x:f>
        <x:v>1.018</x:v>
      </x:c>
    </x:row>
    <x:row r="57" ht="25" customHeight="1">
      <x:c r="A57" s="50" t="str">
        <x:v>CUSTOMER RANKING  /  選択条件内の売上上位5社</x:v>
      </x:c>
      <x:c r="B57" s="50"/>
      <x:c r="C57" s="50"/>
      <x:c r="D57" s="50"/>
      <x:c r="E57" s="50"/>
      <x:c r="F57" s="50"/>
    </x:row>
    <x:row r="59" ht="26" customHeight="1">
      <x:c r="A59" s="5" t="str">
        <x:v>順位</x:v>
      </x:c>
      <x:c r="B59" s="5" t="str">
        <x:v>顧客ID</x:v>
      </x:c>
      <x:c r="C59" s="5" t="str">
        <x:v>顧客名</x:v>
      </x:c>
      <x:c r="D59" s="5" t="str">
        <x:v>売上（百万円）</x:v>
      </x:c>
    </x:row>
    <x:row r="60">
      <x:c r="A60" t="n">
        <x:v>1</x:v>
      </x:c>
      <x:c r="B60" t="str">
        <x:f>INDEX(Customers!$A$2:$A$46,MATCH(D60*1000000,Customers!$H$2:$H$46,0))</x:f>
        <x:v>C001</x:v>
      </x:c>
      <x:c r="C60" t="str">
        <x:f>INDEX(Customers!$B$2:$B$46,MATCH(B60,Customers!$A$2:$A$46,0))</x:f>
        <x:v>架空法人顧客 001</x:v>
      </x:c>
      <x:c r="D60" s="56" t="n">
        <x:f>LARGE(Customers!$H$2:$H$46,A60)/1000000</x:f>
        <x:v>52.588</x:v>
      </x:c>
    </x:row>
    <x:row r="61">
      <x:c r="A61" t="n">
        <x:v>2</x:v>
      </x:c>
      <x:c r="B61" t="str">
        <x:f>INDEX(Customers!$A$2:$A$46,MATCH(D61*1000000,Customers!$H$2:$H$46,0))</x:f>
        <x:v>C019</x:v>
      </x:c>
      <x:c r="C61" t="str">
        <x:f>INDEX(Customers!$B$2:$B$46,MATCH(B61,Customers!$A$2:$A$46,0))</x:f>
        <x:v>架空法人顧客 019</x:v>
      </x:c>
      <x:c r="D61" s="56" t="n">
        <x:f>LARGE(Customers!$H$2:$H$46,A61)/1000000</x:f>
        <x:v>36.453</x:v>
      </x:c>
    </x:row>
    <x:row r="62">
      <x:c r="A62" t="n">
        <x:v>3</x:v>
      </x:c>
      <x:c r="B62" t="str">
        <x:f>INDEX(Customers!$A$2:$A$46,MATCH(D62*1000000,Customers!$H$2:$H$46,0))</x:f>
        <x:v>C002</x:v>
      </x:c>
      <x:c r="C62" t="str">
        <x:f>INDEX(Customers!$B$2:$B$46,MATCH(B62,Customers!$A$2:$A$46,0))</x:f>
        <x:v>架空法人顧客 002</x:v>
      </x:c>
      <x:c r="D62" s="56" t="n">
        <x:f>LARGE(Customers!$H$2:$H$46,A62)/1000000</x:f>
        <x:v>32.204</x:v>
      </x:c>
    </x:row>
    <x:row r="63">
      <x:c r="A63" t="n">
        <x:v>4</x:v>
      </x:c>
      <x:c r="B63" t="str">
        <x:f>INDEX(Customers!$A$2:$A$46,MATCH(D63*1000000,Customers!$H$2:$H$46,0))</x:f>
        <x:v>C003</x:v>
      </x:c>
      <x:c r="C63" t="str">
        <x:f>INDEX(Customers!$B$2:$B$46,MATCH(B63,Customers!$A$2:$A$46,0))</x:f>
        <x:v>架空法人顧客 003</x:v>
      </x:c>
      <x:c r="D63" s="56" t="n">
        <x:f>LARGE(Customers!$H$2:$H$46,A63)/1000000</x:f>
        <x:v>29.32</x:v>
      </x:c>
    </x:row>
    <x:row r="64">
      <x:c r="A64" t="n">
        <x:v>5</x:v>
      </x:c>
      <x:c r="B64" t="str">
        <x:f>INDEX(Customers!$A$2:$A$46,MATCH(D64*1000000,Customers!$H$2:$H$46,0))</x:f>
        <x:v>C020</x:v>
      </x:c>
      <x:c r="C64" t="str">
        <x:f>INDEX(Customers!$B$2:$B$46,MATCH(B64,Customers!$A$2:$A$46,0))</x:f>
        <x:v>架空法人顧客 020</x:v>
      </x:c>
      <x:c r="D64" s="56" t="n">
        <x:f>LARGE(Customers!$H$2:$H$46,A64)/1000000</x:f>
        <x:v>25.402</x:v>
      </x:c>
    </x:row>
    <x:row r="67" ht="25" customHeight="1">
      <x:c r="A67" s="50" t="str">
        <x:v>DATA REFRESH / 更新ルール</x:v>
      </x:c>
      <x:c r="B67" s="50"/>
      <x:c r="C67" s="50"/>
      <x:c r="D67" s="50"/>
      <x:c r="E67" s="50"/>
      <x:c r="F67" s="50"/>
      <x:c r="G67" s="50"/>
      <x:c r="H67" s="50"/>
      <x:c r="I67" s="50"/>
      <x:c r="J67" s="50"/>
      <x:c r="K67" s="50"/>
      <x:c r="L67" s="50"/>
      <x:c r="M67" s="50"/>
      <x:c r="N67" s="50"/>
      <x:c r="O67" s="50"/>
      <x:c r="P67" s="50"/>
    </x:row>
    <x:row r="69" ht="23" customHeight="1">
      <x:c r="A69" s="52" t="str">
        <x:v>1. Transactionsに新規行を追加。顧客ID・部門IDを既存マスタに合わせ、売上・外注費・ライセンス費・その他変動費を入力。</x:v>
      </x:c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</x:row>
    <x:row r="70" ht="23" customHeight="1">
      <x:c r="A70" s="52" t="str">
        <x:v>2. 変動費計（L列）と限界利益（M列）の数式を新規行にコピー。集計範囲は2～2000行まで対応。</x:v>
      </x:c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</x:row>
    <x:row r="71" ht="23" customHeight="1">
      <x:c r="A71" s="52" t="str">
        <x:v>3. BudgetとMonthlyCostsの数値は必要に応じて変更。Dashboard上部で対象部門・期間を選択。</x:v>
      </x:c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</x:row>
    <x:row r="72" ht="23" customHeight="1">
      <x:c r="A72" s="52" t="str">
        <x:v>4. Validationの差異ゼロ／エラー件数ゼロを確認。AI生成の架空企業データであり、実在の企業情報は含まない。</x:v>
      </x:c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</x:row>
  </x:sheetData>
  <x:mergeCells>
    <x:mergeCell ref="A1:P2"/>
    <x:mergeCell ref="A3:P3"/>
    <x:mergeCell ref="B4:D4"/>
    <x:mergeCell ref="L4:N4"/>
    <x:mergeCell ref="A6:D6"/>
    <x:mergeCell ref="A8:D9"/>
    <x:mergeCell ref="E6:H6"/>
    <x:mergeCell ref="E8:H9"/>
    <x:mergeCell ref="I6:L6"/>
    <x:mergeCell ref="I8:L9"/>
    <x:mergeCell ref="M6:P6"/>
    <x:mergeCell ref="M8:P9"/>
    <x:mergeCell ref="A11:P11"/>
    <x:mergeCell ref="A12:F12"/>
    <x:mergeCell ref="G12:J12"/>
    <x:mergeCell ref="K12:P12"/>
    <x:mergeCell ref="A13:J13"/>
    <x:mergeCell ref="K13:P13"/>
    <x:mergeCell ref="A14:P14"/>
    <x:mergeCell ref="A18:J18"/>
    <x:mergeCell ref="K18:P18"/>
    <x:mergeCell ref="A39:P39"/>
    <x:mergeCell ref="A57:F57"/>
    <x:mergeCell ref="A67:P67"/>
    <x:mergeCell ref="A69:P69"/>
    <x:mergeCell ref="A70:P70"/>
    <x:mergeCell ref="A71:P71"/>
    <x:mergeCell ref="A72:P72"/>
  </x:mergeCells>
  <x:dataValidations count="2">
    <x:dataValidation type="list" sqref="B4">
      <x:formula1>"全部門,IT,BPO,TRN"</x:formula1>
    </x:dataValidation>
    <x:dataValidation type="list" sqref="L4">
      <x:formula1>"通期,Q1,Q2,Q3,Q4"</x:formula1>
    </x:dataValidation>
  </x:dataValidations>
  <x:pageMargins left="0.7" right="0.7" top="0.75" bottom="0.75" header="0.3" footer="0.3"/>
  <x:drawing xmlns:r="http://schemas.openxmlformats.org/officeDocument/2006/relationships" r:id="R199f2bfc0b4c453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9" hidden="0" customWidth="1"/>
    <x:col min="7" max="7" width="19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26" customHeight="1">
      <x:c r="A1" s="5" t="str">
        <x:v>取引ID</x:v>
      </x:c>
      <x:c r="B1" s="5" t="str">
        <x:v>月</x:v>
      </x:c>
      <x:c r="C1" s="5" t="str">
        <x:v>顧客ID</x:v>
      </x:c>
      <x:c r="D1" s="5" t="str">
        <x:v>部門ID</x:v>
      </x:c>
      <x:c r="E1" s="5" t="str">
        <x:v>四半期</x:v>
      </x:c>
      <x:c r="F1" s="5" t="str">
        <x:v>契約区分</x:v>
      </x:c>
      <x:c r="G1" s="5" t="str">
        <x:v>サービス</x:v>
      </x:c>
      <x:c r="H1" s="5" t="str">
        <x:v>売上高（円）</x:v>
      </x:c>
      <x:c r="I1" s="5" t="str">
        <x:v>外注費（円）</x:v>
      </x:c>
      <x:c r="J1" s="5" t="str">
        <x:v>ライセンス費（円）</x:v>
      </x:c>
      <x:c r="K1" s="5" t="str">
        <x:v>その他変動費（円）</x:v>
      </x:c>
      <x:c r="L1" s="5" t="str">
        <x:v>変動費計（円）</x:v>
      </x:c>
      <x:c r="M1" s="5" t="str">
        <x:v>限界利益（円）</x:v>
      </x:c>
    </x:row>
    <x:row r="2">
      <x:c r="A2" t="str">
        <x:v>T0001</x:v>
      </x:c>
      <x:c r="B2" t="n">
        <x:v>1</x:v>
      </x:c>
      <x:c r="C2" t="str">
        <x:v>C001</x:v>
      </x:c>
      <x:c r="D2" t="str">
        <x:v>IT</x:v>
      </x:c>
      <x:c r="E2" t="str">
        <x:v>Q1</x:v>
      </x:c>
      <x:c r="F2" t="str">
        <x:v>継続契約</x:v>
      </x:c>
      <x:c r="G2" t="str">
        <x:v>導入・運用支援</x:v>
      </x:c>
      <x:c r="H2" s="16" t="n">
        <x:v>1687000</x:v>
      </x:c>
      <x:c r="I2" s="16" t="n">
        <x:v>322000</x:v>
      </x:c>
      <x:c r="J2" s="16" t="n">
        <x:v>205000</x:v>
      </x:c>
      <x:c r="K2" s="16" t="n">
        <x:v>59000</x:v>
      </x:c>
      <x:c r="L2" s="14" t="n">
        <x:f>SUM(I2:K2)</x:f>
        <x:v>586000</x:v>
      </x:c>
      <x:c r="M2" s="14" t="n">
        <x:f>H2-L2</x:f>
        <x:v>1101000</x:v>
      </x:c>
    </x:row>
    <x:row r="3">
      <x:c r="A3" t="str">
        <x:v>T0002</x:v>
      </x:c>
      <x:c r="B3" t="n">
        <x:v>1</x:v>
      </x:c>
      <x:c r="C3" t="str">
        <x:v>C001</x:v>
      </x:c>
      <x:c r="D3" t="str">
        <x:v>IT</x:v>
      </x:c>
      <x:c r="E3" t="str">
        <x:v>Q1</x:v>
      </x:c>
      <x:c r="F3" t="str">
        <x:v>継続契約</x:v>
      </x:c>
      <x:c r="G3" t="str">
        <x:v>導入・運用支援</x:v>
      </x:c>
      <x:c r="H3" s="16" t="n">
        <x:v>2549000</x:v>
      </x:c>
      <x:c r="I3" s="16" t="n">
        <x:v>525000</x:v>
      </x:c>
      <x:c r="J3" s="16" t="n">
        <x:v>334000</x:v>
      </x:c>
      <x:c r="K3" s="16" t="n">
        <x:v>96000</x:v>
      </x:c>
      <x:c r="L3" s="14" t="n">
        <x:f>SUM(I3:K3)</x:f>
        <x:v>955000</x:v>
      </x:c>
      <x:c r="M3" s="14" t="n">
        <x:f>H3-L3</x:f>
        <x:v>1594000</x:v>
      </x:c>
    </x:row>
    <x:row r="4">
      <x:c r="A4" t="str">
        <x:v>T0003</x:v>
      </x:c>
      <x:c r="B4" t="n">
        <x:v>1</x:v>
      </x:c>
      <x:c r="C4" t="str">
        <x:v>C002</x:v>
      </x:c>
      <x:c r="D4" t="str">
        <x:v>IT</x:v>
      </x:c>
      <x:c r="E4" t="str">
        <x:v>Q1</x:v>
      </x:c>
      <x:c r="F4" t="str">
        <x:v>継続契約</x:v>
      </x:c>
      <x:c r="G4" t="str">
        <x:v>導入・運用支援</x:v>
      </x:c>
      <x:c r="H4" s="16" t="n">
        <x:v>3280000</x:v>
      </x:c>
      <x:c r="I4" s="16" t="n">
        <x:v>654000</x:v>
      </x:c>
      <x:c r="J4" s="16" t="n">
        <x:v>416000</x:v>
      </x:c>
      <x:c r="K4" s="16" t="n">
        <x:v>119000</x:v>
      </x:c>
      <x:c r="L4" s="14" t="n">
        <x:f>SUM(I4:K4)</x:f>
        <x:v>1189000</x:v>
      </x:c>
      <x:c r="M4" s="14" t="n">
        <x:f>H4-L4</x:f>
        <x:v>2091000</x:v>
      </x:c>
    </x:row>
    <x:row r="5">
      <x:c r="A5" t="str">
        <x:v>T0004</x:v>
      </x:c>
      <x:c r="B5" t="n">
        <x:v>1</x:v>
      </x:c>
      <x:c r="C5" t="str">
        <x:v>C004</x:v>
      </x:c>
      <x:c r="D5" t="str">
        <x:v>IT</x:v>
      </x:c>
      <x:c r="E5" t="str">
        <x:v>Q1</x:v>
      </x:c>
      <x:c r="F5" t="str">
        <x:v>継続契約</x:v>
      </x:c>
      <x:c r="G5" t="str">
        <x:v>導入・運用支援</x:v>
      </x:c>
      <x:c r="H5" s="16" t="n">
        <x:v>437000</x:v>
      </x:c>
      <x:c r="I5" s="16" t="n">
        <x:v>76000</x:v>
      </x:c>
      <x:c r="J5" s="16" t="n">
        <x:v>49000</x:v>
      </x:c>
      <x:c r="K5" s="16" t="n">
        <x:v>14000</x:v>
      </x:c>
      <x:c r="L5" s="14" t="n">
        <x:f>SUM(I5:K5)</x:f>
        <x:v>139000</x:v>
      </x:c>
      <x:c r="M5" s="14" t="n">
        <x:f>H5-L5</x:f>
        <x:v>298000</x:v>
      </x:c>
    </x:row>
    <x:row r="6">
      <x:c r="A6" t="str">
        <x:v>T0005</x:v>
      </x:c>
      <x:c r="B6" t="n">
        <x:v>1</x:v>
      </x:c>
      <x:c r="C6" t="str">
        <x:v>C004</x:v>
      </x:c>
      <x:c r="D6" t="str">
        <x:v>IT</x:v>
      </x:c>
      <x:c r="E6" t="str">
        <x:v>Q1</x:v>
      </x:c>
      <x:c r="F6" t="str">
        <x:v>継続契約</x:v>
      </x:c>
      <x:c r="G6" t="str">
        <x:v>導入・運用支援</x:v>
      </x:c>
      <x:c r="H6" s="16" t="n">
        <x:v>294000</x:v>
      </x:c>
      <x:c r="I6" s="16" t="n">
        <x:v>64000</x:v>
      </x:c>
      <x:c r="J6" s="16" t="n">
        <x:v>41000</x:v>
      </x:c>
      <x:c r="K6" s="16" t="n">
        <x:v>12000</x:v>
      </x:c>
      <x:c r="L6" s="14" t="n">
        <x:f>SUM(I6:K6)</x:f>
        <x:v>117000</x:v>
      </x:c>
      <x:c r="M6" s="14" t="n">
        <x:f>H6-L6</x:f>
        <x:v>177000</x:v>
      </x:c>
    </x:row>
    <x:row r="7">
      <x:c r="A7" t="str">
        <x:v>T0006</x:v>
      </x:c>
      <x:c r="B7" t="n">
        <x:v>1</x:v>
      </x:c>
      <x:c r="C7" t="str">
        <x:v>C006</x:v>
      </x:c>
      <x:c r="D7" t="str">
        <x:v>IT</x:v>
      </x:c>
      <x:c r="E7" t="str">
        <x:v>Q1</x:v>
      </x:c>
      <x:c r="F7" t="str">
        <x:v>継続契約</x:v>
      </x:c>
      <x:c r="G7" t="str">
        <x:v>導入・運用支援</x:v>
      </x:c>
      <x:c r="H7" s="16" t="n">
        <x:v>337000</x:v>
      </x:c>
      <x:c r="I7" s="16" t="n">
        <x:v>62000</x:v>
      </x:c>
      <x:c r="J7" s="16" t="n">
        <x:v>39000</x:v>
      </x:c>
      <x:c r="K7" s="16" t="n">
        <x:v>11000</x:v>
      </x:c>
      <x:c r="L7" s="14" t="n">
        <x:f>SUM(I7:K7)</x:f>
        <x:v>112000</x:v>
      </x:c>
      <x:c r="M7" s="14" t="n">
        <x:f>H7-L7</x:f>
        <x:v>225000</x:v>
      </x:c>
    </x:row>
    <x:row r="8">
      <x:c r="A8" t="str">
        <x:v>T0007</x:v>
      </x:c>
      <x:c r="B8" t="n">
        <x:v>1</x:v>
      </x:c>
      <x:c r="C8" t="str">
        <x:v>C006</x:v>
      </x:c>
      <x:c r="D8" t="str">
        <x:v>IT</x:v>
      </x:c>
      <x:c r="E8" t="str">
        <x:v>Q1</x:v>
      </x:c>
      <x:c r="F8" t="str">
        <x:v>継続契約</x:v>
      </x:c>
      <x:c r="G8" t="str">
        <x:v>導入・運用支援</x:v>
      </x:c>
      <x:c r="H8" s="16" t="n">
        <x:v>401000</x:v>
      </x:c>
      <x:c r="I8" s="16" t="n">
        <x:v>72000</x:v>
      </x:c>
      <x:c r="J8" s="16" t="n">
        <x:v>46000</x:v>
      </x:c>
      <x:c r="K8" s="16" t="n">
        <x:v>13000</x:v>
      </x:c>
      <x:c r="L8" s="14" t="n">
        <x:f>SUM(I8:K8)</x:f>
        <x:v>131000</x:v>
      </x:c>
      <x:c r="M8" s="14" t="n">
        <x:f>H8-L8</x:f>
        <x:v>270000</x:v>
      </x:c>
    </x:row>
    <x:row r="9">
      <x:c r="A9" t="str">
        <x:v>T0008</x:v>
      </x:c>
      <x:c r="B9" t="n">
        <x:v>1</x:v>
      </x:c>
      <x:c r="C9" t="str">
        <x:v>C008</x:v>
      </x:c>
      <x:c r="D9" t="str">
        <x:v>IT</x:v>
      </x:c>
      <x:c r="E9" t="str">
        <x:v>Q1</x:v>
      </x:c>
      <x:c r="F9" t="str">
        <x:v>継続契約</x:v>
      </x:c>
      <x:c r="G9" t="str">
        <x:v>導入・運用支援</x:v>
      </x:c>
      <x:c r="H9" s="16" t="n">
        <x:v>1274000</x:v>
      </x:c>
      <x:c r="I9" s="16" t="n">
        <x:v>209000</x:v>
      </x:c>
      <x:c r="J9" s="16" t="n">
        <x:v>133000</x:v>
      </x:c>
      <x:c r="K9" s="16" t="n">
        <x:v>38000</x:v>
      </x:c>
      <x:c r="L9" s="14" t="n">
        <x:f>SUM(I9:K9)</x:f>
        <x:v>380000</x:v>
      </x:c>
      <x:c r="M9" s="14" t="n">
        <x:f>H9-L9</x:f>
        <x:v>894000</x:v>
      </x:c>
    </x:row>
    <x:row r="10">
      <x:c r="A10" t="str">
        <x:v>T0009</x:v>
      </x:c>
      <x:c r="B10" t="n">
        <x:v>1</x:v>
      </x:c>
      <x:c r="C10" t="str">
        <x:v>C010</x:v>
      </x:c>
      <x:c r="D10" t="str">
        <x:v>IT</x:v>
      </x:c>
      <x:c r="E10" t="str">
        <x:v>Q1</x:v>
      </x:c>
      <x:c r="F10" t="str">
        <x:v>スポット中心</x:v>
      </x:c>
      <x:c r="G10" t="str">
        <x:v>導入・運用支援</x:v>
      </x:c>
      <x:c r="H10" s="16" t="n">
        <x:v>569000</x:v>
      </x:c>
      <x:c r="I10" s="16" t="n">
        <x:v>121000</x:v>
      </x:c>
      <x:c r="J10" s="16" t="n">
        <x:v>77000</x:v>
      </x:c>
      <x:c r="K10" s="16" t="n">
        <x:v>22000</x:v>
      </x:c>
      <x:c r="L10" s="14" t="n">
        <x:f>SUM(I10:K10)</x:f>
        <x:v>220000</x:v>
      </x:c>
      <x:c r="M10" s="14" t="n">
        <x:f>H10-L10</x:f>
        <x:v>349000</x:v>
      </x:c>
    </x:row>
    <x:row r="11">
      <x:c r="A11" t="str">
        <x:v>T0010</x:v>
      </x:c>
      <x:c r="B11" t="n">
        <x:v>1</x:v>
      </x:c>
      <x:c r="C11" t="str">
        <x:v>C010</x:v>
      </x:c>
      <x:c r="D11" t="str">
        <x:v>IT</x:v>
      </x:c>
      <x:c r="E11" t="str">
        <x:v>Q1</x:v>
      </x:c>
      <x:c r="F11" t="str">
        <x:v>スポット中心</x:v>
      </x:c>
      <x:c r="G11" t="str">
        <x:v>導入・運用支援</x:v>
      </x:c>
      <x:c r="H11" s="16" t="n">
        <x:v>392000</x:v>
      </x:c>
      <x:c r="I11" s="16" t="n">
        <x:v>65000</x:v>
      </x:c>
      <x:c r="J11" s="16" t="n">
        <x:v>42000</x:v>
      </x:c>
      <x:c r="K11" s="16" t="n">
        <x:v>12000</x:v>
      </x:c>
      <x:c r="L11" s="14" t="n">
        <x:f>SUM(I11:K11)</x:f>
        <x:v>119000</x:v>
      </x:c>
      <x:c r="M11" s="14" t="n">
        <x:f>H11-L11</x:f>
        <x:v>273000</x:v>
      </x:c>
    </x:row>
    <x:row r="12">
      <x:c r="A12" t="str">
        <x:v>T0011</x:v>
      </x:c>
      <x:c r="B12" t="n">
        <x:v>1</x:v>
      </x:c>
      <x:c r="C12" t="str">
        <x:v>C011</x:v>
      </x:c>
      <x:c r="D12" t="str">
        <x:v>IT</x:v>
      </x:c>
      <x:c r="E12" t="str">
        <x:v>Q1</x:v>
      </x:c>
      <x:c r="F12" t="str">
        <x:v>継続契約</x:v>
      </x:c>
      <x:c r="G12" t="str">
        <x:v>導入・運用支援</x:v>
      </x:c>
      <x:c r="H12" s="16" t="n">
        <x:v>669000</x:v>
      </x:c>
      <x:c r="I12" s="16" t="n">
        <x:v>114000</x:v>
      </x:c>
      <x:c r="J12" s="16" t="n">
        <x:v>73000</x:v>
      </x:c>
      <x:c r="K12" s="16" t="n">
        <x:v>21000</x:v>
      </x:c>
      <x:c r="L12" s="14" t="n">
        <x:f>SUM(I12:K12)</x:f>
        <x:v>208000</x:v>
      </x:c>
      <x:c r="M12" s="14" t="n">
        <x:f>H12-L12</x:f>
        <x:v>461000</x:v>
      </x:c>
    </x:row>
    <x:row r="13">
      <x:c r="A13" t="str">
        <x:v>T0012</x:v>
      </x:c>
      <x:c r="B13" t="n">
        <x:v>1</x:v>
      </x:c>
      <x:c r="C13" t="str">
        <x:v>C011</x:v>
      </x:c>
      <x:c r="D13" t="str">
        <x:v>IT</x:v>
      </x:c>
      <x:c r="E13" t="str">
        <x:v>Q1</x:v>
      </x:c>
      <x:c r="F13" t="str">
        <x:v>継続契約</x:v>
      </x:c>
      <x:c r="G13" t="str">
        <x:v>導入・運用支援</x:v>
      </x:c>
      <x:c r="H13" s="16" t="n">
        <x:v>666000</x:v>
      </x:c>
      <x:c r="I13" s="16" t="n">
        <x:v>119000</x:v>
      </x:c>
      <x:c r="J13" s="16" t="n">
        <x:v>76000</x:v>
      </x:c>
      <x:c r="K13" s="16" t="n">
        <x:v>22000</x:v>
      </x:c>
      <x:c r="L13" s="14" t="n">
        <x:f>SUM(I13:K13)</x:f>
        <x:v>217000</x:v>
      </x:c>
      <x:c r="M13" s="14" t="n">
        <x:f>H13-L13</x:f>
        <x:v>449000</x:v>
      </x:c>
    </x:row>
    <x:row r="14">
      <x:c r="A14" t="str">
        <x:v>T0013</x:v>
      </x:c>
      <x:c r="B14" t="n">
        <x:v>1</x:v>
      </x:c>
      <x:c r="C14" t="str">
        <x:v>C012</x:v>
      </x:c>
      <x:c r="D14" t="str">
        <x:v>IT</x:v>
      </x:c>
      <x:c r="E14" t="str">
        <x:v>Q1</x:v>
      </x:c>
      <x:c r="F14" t="str">
        <x:v>継続契約</x:v>
      </x:c>
      <x:c r="G14" t="str">
        <x:v>導入・運用支援</x:v>
      </x:c>
      <x:c r="H14" s="16" t="n">
        <x:v>1181000</x:v>
      </x:c>
      <x:c r="I14" s="16" t="n">
        <x:v>205000</x:v>
      </x:c>
      <x:c r="J14" s="16" t="n">
        <x:v>131000</x:v>
      </x:c>
      <x:c r="K14" s="16" t="n">
        <x:v>37000</x:v>
      </x:c>
      <x:c r="L14" s="14" t="n">
        <x:f>SUM(I14:K14)</x:f>
        <x:v>373000</x:v>
      </x:c>
      <x:c r="M14" s="14" t="n">
        <x:f>H14-L14</x:f>
        <x:v>808000</x:v>
      </x:c>
    </x:row>
    <x:row r="15">
      <x:c r="A15" t="str">
        <x:v>T0014</x:v>
      </x:c>
      <x:c r="B15" t="n">
        <x:v>1</x:v>
      </x:c>
      <x:c r="C15" t="str">
        <x:v>C013</x:v>
      </x:c>
      <x:c r="D15" t="str">
        <x:v>IT</x:v>
      </x:c>
      <x:c r="E15" t="str">
        <x:v>Q1</x:v>
      </x:c>
      <x:c r="F15" t="str">
        <x:v>継続契約</x:v>
      </x:c>
      <x:c r="G15" t="str">
        <x:v>導入・運用支援</x:v>
      </x:c>
      <x:c r="H15" s="16" t="n">
        <x:v>1041000</x:v>
      </x:c>
      <x:c r="I15" s="16" t="n">
        <x:v>228000</x:v>
      </x:c>
      <x:c r="J15" s="16" t="n">
        <x:v>145000</x:v>
      </x:c>
      <x:c r="K15" s="16" t="n">
        <x:v>42000</x:v>
      </x:c>
      <x:c r="L15" s="14" t="n">
        <x:f>SUM(I15:K15)</x:f>
        <x:v>415000</x:v>
      </x:c>
      <x:c r="M15" s="14" t="n">
        <x:f>H15-L15</x:f>
        <x:v>626000</x:v>
      </x:c>
    </x:row>
    <x:row r="16">
      <x:c r="A16" t="str">
        <x:v>T0015</x:v>
      </x:c>
      <x:c r="B16" t="n">
        <x:v>1</x:v>
      </x:c>
      <x:c r="C16" t="str">
        <x:v>C014</x:v>
      </x:c>
      <x:c r="D16" t="str">
        <x:v>IT</x:v>
      </x:c>
      <x:c r="E16" t="str">
        <x:v>Q1</x:v>
      </x:c>
      <x:c r="F16" t="str">
        <x:v>継続契約</x:v>
      </x:c>
      <x:c r="G16" t="str">
        <x:v>導入・運用支援</x:v>
      </x:c>
      <x:c r="H16" s="16" t="n">
        <x:v>458000</x:v>
      </x:c>
      <x:c r="I16" s="16" t="n">
        <x:v>101000</x:v>
      </x:c>
      <x:c r="J16" s="16" t="n">
        <x:v>64000</x:v>
      </x:c>
      <x:c r="K16" s="16" t="n">
        <x:v>19000</x:v>
      </x:c>
      <x:c r="L16" s="14" t="n">
        <x:f>SUM(I16:K16)</x:f>
        <x:v>184000</x:v>
      </x:c>
      <x:c r="M16" s="14" t="n">
        <x:f>H16-L16</x:f>
        <x:v>274000</x:v>
      </x:c>
    </x:row>
    <x:row r="17">
      <x:c r="A17" t="str">
        <x:v>T0016</x:v>
      </x:c>
      <x:c r="B17" t="n">
        <x:v>1</x:v>
      </x:c>
      <x:c r="C17" t="str">
        <x:v>C014</x:v>
      </x:c>
      <x:c r="D17" t="str">
        <x:v>IT</x:v>
      </x:c>
      <x:c r="E17" t="str">
        <x:v>Q1</x:v>
      </x:c>
      <x:c r="F17" t="str">
        <x:v>継続契約</x:v>
      </x:c>
      <x:c r="G17" t="str">
        <x:v>導入・運用支援</x:v>
      </x:c>
      <x:c r="H17" s="16" t="n">
        <x:v>587000</x:v>
      </x:c>
      <x:c r="I17" s="16" t="n">
        <x:v>114000</x:v>
      </x:c>
      <x:c r="J17" s="16" t="n">
        <x:v>72000</x:v>
      </x:c>
      <x:c r="K17" s="16" t="n">
        <x:v>21000</x:v>
      </x:c>
      <x:c r="L17" s="14" t="n">
        <x:f>SUM(I17:K17)</x:f>
        <x:v>207000</x:v>
      </x:c>
      <x:c r="M17" s="14" t="n">
        <x:f>H17-L17</x:f>
        <x:v>380000</x:v>
      </x:c>
    </x:row>
    <x:row r="18">
      <x:c r="A18" t="str">
        <x:v>T0017</x:v>
      </x:c>
      <x:c r="B18" t="n">
        <x:v>1</x:v>
      </x:c>
      <x:c r="C18" t="str">
        <x:v>C016</x:v>
      </x:c>
      <x:c r="D18" t="str">
        <x:v>IT</x:v>
      </x:c>
      <x:c r="E18" t="str">
        <x:v>Q1</x:v>
      </x:c>
      <x:c r="F18" t="str">
        <x:v>継続契約</x:v>
      </x:c>
      <x:c r="G18" t="str">
        <x:v>導入・運用支援</x:v>
      </x:c>
      <x:c r="H18" s="16" t="n">
        <x:v>745000</x:v>
      </x:c>
      <x:c r="I18" s="16" t="n">
        <x:v>148000</x:v>
      </x:c>
      <x:c r="J18" s="16" t="n">
        <x:v>94000</x:v>
      </x:c>
      <x:c r="K18" s="16" t="n">
        <x:v>28000</x:v>
      </x:c>
      <x:c r="L18" s="14" t="n">
        <x:f>SUM(I18:K18)</x:f>
        <x:v>270000</x:v>
      </x:c>
      <x:c r="M18" s="14" t="n">
        <x:f>H18-L18</x:f>
        <x:v>475000</x:v>
      </x:c>
    </x:row>
    <x:row r="19">
      <x:c r="A19" t="str">
        <x:v>T0018</x:v>
      </x:c>
      <x:c r="B19" t="n">
        <x:v>1</x:v>
      </x:c>
      <x:c r="C19" t="str">
        <x:v>C016</x:v>
      </x:c>
      <x:c r="D19" t="str">
        <x:v>IT</x:v>
      </x:c>
      <x:c r="E19" t="str">
        <x:v>Q1</x:v>
      </x:c>
      <x:c r="F19" t="str">
        <x:v>継続契約</x:v>
      </x:c>
      <x:c r="G19" t="str">
        <x:v>導入・運用支援</x:v>
      </x:c>
      <x:c r="H19" s="16" t="n">
        <x:v>448000</x:v>
      </x:c>
      <x:c r="I19" s="16" t="n">
        <x:v>94000</x:v>
      </x:c>
      <x:c r="J19" s="16" t="n">
        <x:v>59000</x:v>
      </x:c>
      <x:c r="K19" s="16" t="n">
        <x:v>17000</x:v>
      </x:c>
      <x:c r="L19" s="14" t="n">
        <x:f>SUM(I19:K19)</x:f>
        <x:v>170000</x:v>
      </x:c>
      <x:c r="M19" s="14" t="n">
        <x:f>H19-L19</x:f>
        <x:v>278000</x:v>
      </x:c>
    </x:row>
    <x:row r="20">
      <x:c r="A20" t="str">
        <x:v>T0019</x:v>
      </x:c>
      <x:c r="B20" t="n">
        <x:v>1</x:v>
      </x:c>
      <x:c r="C20" t="str">
        <x:v>C017</x:v>
      </x:c>
      <x:c r="D20" t="str">
        <x:v>IT</x:v>
      </x:c>
      <x:c r="E20" t="str">
        <x:v>Q1</x:v>
      </x:c>
      <x:c r="F20" t="str">
        <x:v>継続契約</x:v>
      </x:c>
      <x:c r="G20" t="str">
        <x:v>導入・運用支援</x:v>
      </x:c>
      <x:c r="H20" s="16" t="n">
        <x:v>1222000</x:v>
      </x:c>
      <x:c r="I20" s="16" t="n">
        <x:v>257000</x:v>
      </x:c>
      <x:c r="J20" s="16" t="n">
        <x:v>163000</x:v>
      </x:c>
      <x:c r="K20" s="16" t="n">
        <x:v>47000</x:v>
      </x:c>
      <x:c r="L20" s="14" t="n">
        <x:f>SUM(I20:K20)</x:f>
        <x:v>467000</x:v>
      </x:c>
      <x:c r="M20" s="14" t="n">
        <x:f>H20-L20</x:f>
        <x:v>755000</x:v>
      </x:c>
    </x:row>
    <x:row r="21">
      <x:c r="A21" t="str">
        <x:v>T0020</x:v>
      </x:c>
      <x:c r="B21" t="n">
        <x:v>1</x:v>
      </x:c>
      <x:c r="C21" t="str">
        <x:v>C018</x:v>
      </x:c>
      <x:c r="D21" t="str">
        <x:v>IT</x:v>
      </x:c>
      <x:c r="E21" t="str">
        <x:v>Q1</x:v>
      </x:c>
      <x:c r="F21" t="str">
        <x:v>継続契約</x:v>
      </x:c>
      <x:c r="G21" t="str">
        <x:v>導入・運用支援</x:v>
      </x:c>
      <x:c r="H21" s="16" t="n">
        <x:v>676000</x:v>
      </x:c>
      <x:c r="I21" s="16" t="n">
        <x:v>113000</x:v>
      </x:c>
      <x:c r="J21" s="16" t="n">
        <x:v>72000</x:v>
      </x:c>
      <x:c r="K21" s="16" t="n">
        <x:v>21000</x:v>
      </x:c>
      <x:c r="L21" s="14" t="n">
        <x:f>SUM(I21:K21)</x:f>
        <x:v>206000</x:v>
      </x:c>
      <x:c r="M21" s="14" t="n">
        <x:f>H21-L21</x:f>
        <x:v>470000</x:v>
      </x:c>
    </x:row>
    <x:row r="22">
      <x:c r="A22" t="str">
        <x:v>T0021</x:v>
      </x:c>
      <x:c r="B22" t="n">
        <x:v>1</x:v>
      </x:c>
      <x:c r="C22" t="str">
        <x:v>C018</x:v>
      </x:c>
      <x:c r="D22" t="str">
        <x:v>IT</x:v>
      </x:c>
      <x:c r="E22" t="str">
        <x:v>Q1</x:v>
      </x:c>
      <x:c r="F22" t="str">
        <x:v>継続契約</x:v>
      </x:c>
      <x:c r="G22" t="str">
        <x:v>導入・運用支援</x:v>
      </x:c>
      <x:c r="H22" s="16" t="n">
        <x:v>677000</x:v>
      </x:c>
      <x:c r="I22" s="16" t="n">
        <x:v>145000</x:v>
      </x:c>
      <x:c r="J22" s="16" t="n">
        <x:v>92000</x:v>
      </x:c>
      <x:c r="K22" s="16" t="n">
        <x:v>27000</x:v>
      </x:c>
      <x:c r="L22" s="14" t="n">
        <x:f>SUM(I22:K22)</x:f>
        <x:v>264000</x:v>
      </x:c>
      <x:c r="M22" s="14" t="n">
        <x:f>H22-L22</x:f>
        <x:v>413000</x:v>
      </x:c>
    </x:row>
    <x:row r="23">
      <x:c r="A23" t="str">
        <x:v>T0022</x:v>
      </x:c>
      <x:c r="B23" t="n">
        <x:v>1</x:v>
      </x:c>
      <x:c r="C23" t="str">
        <x:v>C019</x:v>
      </x:c>
      <x:c r="D23" t="str">
        <x:v>BPO</x:v>
      </x:c>
      <x:c r="E23" t="str">
        <x:v>Q1</x:v>
      </x:c>
      <x:c r="F23" t="str">
        <x:v>継続契約</x:v>
      </x:c>
      <x:c r="G23" t="str">
        <x:v>業務運用代行</x:v>
      </x:c>
      <x:c r="H23" s="16" t="n">
        <x:v>2715000</x:v>
      </x:c>
      <x:c r="I23" s="16" t="n">
        <x:v>556000</x:v>
      </x:c>
      <x:c r="J23" s="16" t="n">
        <x:v>95000</x:v>
      </x:c>
      <x:c r="K23" s="16" t="n">
        <x:v>80000</x:v>
      </x:c>
      <x:c r="L23" s="14" t="n">
        <x:f>SUM(I23:K23)</x:f>
        <x:v>731000</x:v>
      </x:c>
      <x:c r="M23" s="14" t="n">
        <x:f>H23-L23</x:f>
        <x:v>1984000</x:v>
      </x:c>
    </x:row>
    <x:row r="24">
      <x:c r="A24" t="str">
        <x:v>T0023</x:v>
      </x:c>
      <x:c r="B24" t="n">
        <x:v>1</x:v>
      </x:c>
      <x:c r="C24" t="str">
        <x:v>C020</x:v>
      </x:c>
      <x:c r="D24" t="str">
        <x:v>BPO</x:v>
      </x:c>
      <x:c r="E24" t="str">
        <x:v>Q1</x:v>
      </x:c>
      <x:c r="F24" t="str">
        <x:v>継続契約</x:v>
      </x:c>
      <x:c r="G24" t="str">
        <x:v>業務運用代行</x:v>
      </x:c>
      <x:c r="H24" s="16" t="n">
        <x:v>1970000</x:v>
      </x:c>
      <x:c r="I24" s="16" t="n">
        <x:v>379000</x:v>
      </x:c>
      <x:c r="J24" s="16" t="n">
        <x:v>65000</x:v>
      </x:c>
      <x:c r="K24" s="16" t="n">
        <x:v>55000</x:v>
      </x:c>
      <x:c r="L24" s="14" t="n">
        <x:f>SUM(I24:K24)</x:f>
        <x:v>499000</x:v>
      </x:c>
      <x:c r="M24" s="14" t="n">
        <x:f>H24-L24</x:f>
        <x:v>1471000</x:v>
      </x:c>
    </x:row>
    <x:row r="25">
      <x:c r="A25" t="str">
        <x:v>T0024</x:v>
      </x:c>
      <x:c r="B25" t="n">
        <x:v>1</x:v>
      </x:c>
      <x:c r="C25" t="str">
        <x:v>C021</x:v>
      </x:c>
      <x:c r="D25" t="str">
        <x:v>BPO</x:v>
      </x:c>
      <x:c r="E25" t="str">
        <x:v>Q1</x:v>
      </x:c>
      <x:c r="F25" t="str">
        <x:v>継続契約</x:v>
      </x:c>
      <x:c r="G25" t="str">
        <x:v>業務運用代行</x:v>
      </x:c>
      <x:c r="H25" s="16" t="n">
        <x:v>1183000</x:v>
      </x:c>
      <x:c r="I25" s="16" t="n">
        <x:v>231000</x:v>
      </x:c>
      <x:c r="J25" s="16" t="n">
        <x:v>40000</x:v>
      </x:c>
      <x:c r="K25" s="16" t="n">
        <x:v>33000</x:v>
      </x:c>
      <x:c r="L25" s="14" t="n">
        <x:f>SUM(I25:K25)</x:f>
        <x:v>304000</x:v>
      </x:c>
      <x:c r="M25" s="14" t="n">
        <x:f>H25-L25</x:f>
        <x:v>879000</x:v>
      </x:c>
    </x:row>
    <x:row r="26">
      <x:c r="A26" t="str">
        <x:v>T0025</x:v>
      </x:c>
      <x:c r="B26" t="n">
        <x:v>1</x:v>
      </x:c>
      <x:c r="C26" t="str">
        <x:v>C022</x:v>
      </x:c>
      <x:c r="D26" t="str">
        <x:v>BPO</x:v>
      </x:c>
      <x:c r="E26" t="str">
        <x:v>Q1</x:v>
      </x:c>
      <x:c r="F26" t="str">
        <x:v>継続契約</x:v>
      </x:c>
      <x:c r="G26" t="str">
        <x:v>業務運用代行</x:v>
      </x:c>
      <x:c r="H26" s="16" t="n">
        <x:v>1124000</x:v>
      </x:c>
      <x:c r="I26" s="16" t="n">
        <x:v>186000</x:v>
      </x:c>
      <x:c r="J26" s="16" t="n">
        <x:v>32000</x:v>
      </x:c>
      <x:c r="K26" s="16" t="n">
        <x:v>27000</x:v>
      </x:c>
      <x:c r="L26" s="14" t="n">
        <x:f>SUM(I26:K26)</x:f>
        <x:v>245000</x:v>
      </x:c>
      <x:c r="M26" s="14" t="n">
        <x:f>H26-L26</x:f>
        <x:v>879000</x:v>
      </x:c>
    </x:row>
    <x:row r="27">
      <x:c r="A27" t="str">
        <x:v>T0026</x:v>
      </x:c>
      <x:c r="B27" t="n">
        <x:v>1</x:v>
      </x:c>
      <x:c r="C27" t="str">
        <x:v>C023</x:v>
      </x:c>
      <x:c r="D27" t="str">
        <x:v>BPO</x:v>
      </x:c>
      <x:c r="E27" t="str">
        <x:v>Q1</x:v>
      </x:c>
      <x:c r="F27" t="str">
        <x:v>継続契約</x:v>
      </x:c>
      <x:c r="G27" t="str">
        <x:v>業務運用代行</x:v>
      </x:c>
      <x:c r="H27" s="16" t="n">
        <x:v>1351000</x:v>
      </x:c>
      <x:c r="I27" s="16" t="n">
        <x:v>220000</x:v>
      </x:c>
      <x:c r="J27" s="16" t="n">
        <x:v>38000</x:v>
      </x:c>
      <x:c r="K27" s="16" t="n">
        <x:v>31000</x:v>
      </x:c>
      <x:c r="L27" s="14" t="n">
        <x:f>SUM(I27:K27)</x:f>
        <x:v>289000</x:v>
      </x:c>
      <x:c r="M27" s="14" t="n">
        <x:f>H27-L27</x:f>
        <x:v>1062000</x:v>
      </x:c>
    </x:row>
    <x:row r="28">
      <x:c r="A28" t="str">
        <x:v>T0027</x:v>
      </x:c>
      <x:c r="B28" t="n">
        <x:v>1</x:v>
      </x:c>
      <x:c r="C28" t="str">
        <x:v>C024</x:v>
      </x:c>
      <x:c r="D28" t="str">
        <x:v>BPO</x:v>
      </x:c>
      <x:c r="E28" t="str">
        <x:v>Q1</x:v>
      </x:c>
      <x:c r="F28" t="str">
        <x:v>継続契約</x:v>
      </x:c>
      <x:c r="G28" t="str">
        <x:v>業務運用代行</x:v>
      </x:c>
      <x:c r="H28" s="16" t="n">
        <x:v>718000</x:v>
      </x:c>
      <x:c r="I28" s="16" t="n">
        <x:v>154000</x:v>
      </x:c>
      <x:c r="J28" s="16" t="n">
        <x:v>26000</x:v>
      </x:c>
      <x:c r="K28" s="16" t="n">
        <x:v>23000</x:v>
      </x:c>
      <x:c r="L28" s="14" t="n">
        <x:f>SUM(I28:K28)</x:f>
        <x:v>203000</x:v>
      </x:c>
      <x:c r="M28" s="14" t="n">
        <x:f>H28-L28</x:f>
        <x:v>515000</x:v>
      </x:c>
    </x:row>
    <x:row r="29">
      <x:c r="A29" t="str">
        <x:v>T0028</x:v>
      </x:c>
      <x:c r="B29" t="n">
        <x:v>1</x:v>
      </x:c>
      <x:c r="C29" t="str">
        <x:v>C024</x:v>
      </x:c>
      <x:c r="D29" t="str">
        <x:v>BPO</x:v>
      </x:c>
      <x:c r="E29" t="str">
        <x:v>Q1</x:v>
      </x:c>
      <x:c r="F29" t="str">
        <x:v>継続契約</x:v>
      </x:c>
      <x:c r="G29" t="str">
        <x:v>業務運用代行</x:v>
      </x:c>
      <x:c r="H29" s="16" t="n">
        <x:v>538000</x:v>
      </x:c>
      <x:c r="I29" s="16" t="n">
        <x:v>106000</x:v>
      </x:c>
      <x:c r="J29" s="16" t="n">
        <x:v>18000</x:v>
      </x:c>
      <x:c r="K29" s="16" t="n">
        <x:v>16000</x:v>
      </x:c>
      <x:c r="L29" s="14" t="n">
        <x:f>SUM(I29:K29)</x:f>
        <x:v>140000</x:v>
      </x:c>
      <x:c r="M29" s="14" t="n">
        <x:f>H29-L29</x:f>
        <x:v>398000</x:v>
      </x:c>
    </x:row>
    <x:row r="30">
      <x:c r="A30" t="str">
        <x:v>T0029</x:v>
      </x:c>
      <x:c r="B30" t="n">
        <x:v>1</x:v>
      </x:c>
      <x:c r="C30" t="str">
        <x:v>C025</x:v>
      </x:c>
      <x:c r="D30" t="str">
        <x:v>BPO</x:v>
      </x:c>
      <x:c r="E30" t="str">
        <x:v>Q1</x:v>
      </x:c>
      <x:c r="F30" t="str">
        <x:v>継続契約</x:v>
      </x:c>
      <x:c r="G30" t="str">
        <x:v>業務運用代行</x:v>
      </x:c>
      <x:c r="H30" s="16" t="n">
        <x:v>564000</x:v>
      </x:c>
      <x:c r="I30" s="16" t="n">
        <x:v>91000</x:v>
      </x:c>
      <x:c r="J30" s="16" t="n">
        <x:v>16000</x:v>
      </x:c>
      <x:c r="K30" s="16" t="n">
        <x:v>13000</x:v>
      </x:c>
      <x:c r="L30" s="14" t="n">
        <x:f>SUM(I30:K30)</x:f>
        <x:v>120000</x:v>
      </x:c>
      <x:c r="M30" s="14" t="n">
        <x:f>H30-L30</x:f>
        <x:v>444000</x:v>
      </x:c>
    </x:row>
    <x:row r="31">
      <x:c r="A31" t="str">
        <x:v>T0030</x:v>
      </x:c>
      <x:c r="B31" t="n">
        <x:v>1</x:v>
      </x:c>
      <x:c r="C31" t="str">
        <x:v>C025</x:v>
      </x:c>
      <x:c r="D31" t="str">
        <x:v>BPO</x:v>
      </x:c>
      <x:c r="E31" t="str">
        <x:v>Q1</x:v>
      </x:c>
      <x:c r="F31" t="str">
        <x:v>継続契約</x:v>
      </x:c>
      <x:c r="G31" t="str">
        <x:v>業務運用代行</x:v>
      </x:c>
      <x:c r="H31" s="16" t="n">
        <x:v>525000</x:v>
      </x:c>
      <x:c r="I31" s="16" t="n">
        <x:v>94000</x:v>
      </x:c>
      <x:c r="J31" s="16" t="n">
        <x:v>16000</x:v>
      </x:c>
      <x:c r="K31" s="16" t="n">
        <x:v>14000</x:v>
      </x:c>
      <x:c r="L31" s="14" t="n">
        <x:f>SUM(I31:K31)</x:f>
        <x:v>124000</x:v>
      </x:c>
      <x:c r="M31" s="14" t="n">
        <x:f>H31-L31</x:f>
        <x:v>401000</x:v>
      </x:c>
    </x:row>
    <x:row r="32">
      <x:c r="A32" t="str">
        <x:v>T0031</x:v>
      </x:c>
      <x:c r="B32" t="n">
        <x:v>1</x:v>
      </x:c>
      <x:c r="C32" t="str">
        <x:v>C026</x:v>
      </x:c>
      <x:c r="D32" t="str">
        <x:v>BPO</x:v>
      </x:c>
      <x:c r="E32" t="str">
        <x:v>Q1</x:v>
      </x:c>
      <x:c r="F32" t="str">
        <x:v>継続契約</x:v>
      </x:c>
      <x:c r="G32" t="str">
        <x:v>業務運用代行</x:v>
      </x:c>
      <x:c r="H32" s="16" t="n">
        <x:v>938000</x:v>
      </x:c>
      <x:c r="I32" s="16" t="n">
        <x:v>183000</x:v>
      </x:c>
      <x:c r="J32" s="16" t="n">
        <x:v>31000</x:v>
      </x:c>
      <x:c r="K32" s="16" t="n">
        <x:v>27000</x:v>
      </x:c>
      <x:c r="L32" s="14" t="n">
        <x:f>SUM(I32:K32)</x:f>
        <x:v>241000</x:v>
      </x:c>
      <x:c r="M32" s="14" t="n">
        <x:f>H32-L32</x:f>
        <x:v>697000</x:v>
      </x:c>
    </x:row>
    <x:row r="33">
      <x:c r="A33" t="str">
        <x:v>T0032</x:v>
      </x:c>
      <x:c r="B33" t="n">
        <x:v>1</x:v>
      </x:c>
      <x:c r="C33" t="str">
        <x:v>C027</x:v>
      </x:c>
      <x:c r="D33" t="str">
        <x:v>BPO</x:v>
      </x:c>
      <x:c r="E33" t="str">
        <x:v>Q1</x:v>
      </x:c>
      <x:c r="F33" t="str">
        <x:v>継続契約</x:v>
      </x:c>
      <x:c r="G33" t="str">
        <x:v>業務運用代行</x:v>
      </x:c>
      <x:c r="H33" s="16" t="n">
        <x:v>1443000</x:v>
      </x:c>
      <x:c r="I33" s="16" t="n">
        <x:v>242000</x:v>
      </x:c>
      <x:c r="J33" s="16" t="n">
        <x:v>41000</x:v>
      </x:c>
      <x:c r="K33" s="16" t="n">
        <x:v>35000</x:v>
      </x:c>
      <x:c r="L33" s="14" t="n">
        <x:f>SUM(I33:K33)</x:f>
        <x:v>318000</x:v>
      </x:c>
      <x:c r="M33" s="14" t="n">
        <x:f>H33-L33</x:f>
        <x:v>1125000</x:v>
      </x:c>
    </x:row>
    <x:row r="34">
      <x:c r="A34" t="str">
        <x:v>T0033</x:v>
      </x:c>
      <x:c r="B34" t="n">
        <x:v>1</x:v>
      </x:c>
      <x:c r="C34" t="str">
        <x:v>C028</x:v>
      </x:c>
      <x:c r="D34" t="str">
        <x:v>BPO</x:v>
      </x:c>
      <x:c r="E34" t="str">
        <x:v>Q1</x:v>
      </x:c>
      <x:c r="F34" t="str">
        <x:v>継続契約</x:v>
      </x:c>
      <x:c r="G34" t="str">
        <x:v>業務運用代行</x:v>
      </x:c>
      <x:c r="H34" s="16" t="n">
        <x:v>1138000</x:v>
      </x:c>
      <x:c r="I34" s="16" t="n">
        <x:v>225000</x:v>
      </x:c>
      <x:c r="J34" s="16" t="n">
        <x:v>38000</x:v>
      </x:c>
      <x:c r="K34" s="16" t="n">
        <x:v>33000</x:v>
      </x:c>
      <x:c r="L34" s="14" t="n">
        <x:f>SUM(I34:K34)</x:f>
        <x:v>296000</x:v>
      </x:c>
      <x:c r="M34" s="14" t="n">
        <x:f>H34-L34</x:f>
        <x:v>842000</x:v>
      </x:c>
    </x:row>
    <x:row r="35">
      <x:c r="A35" t="str">
        <x:v>T0034</x:v>
      </x:c>
      <x:c r="B35" t="n">
        <x:v>1</x:v>
      </x:c>
      <x:c r="C35" t="str">
        <x:v>C029</x:v>
      </x:c>
      <x:c r="D35" t="str">
        <x:v>BPO</x:v>
      </x:c>
      <x:c r="E35" t="str">
        <x:v>Q1</x:v>
      </x:c>
      <x:c r="F35" t="str">
        <x:v>継続契約</x:v>
      </x:c>
      <x:c r="G35" t="str">
        <x:v>業務運用代行</x:v>
      </x:c>
      <x:c r="H35" s="16" t="n">
        <x:v>1308000</x:v>
      </x:c>
      <x:c r="I35" s="16" t="n">
        <x:v>279000</x:v>
      </x:c>
      <x:c r="J35" s="16" t="n">
        <x:v>48000</x:v>
      </x:c>
      <x:c r="K35" s="16" t="n">
        <x:v>40000</x:v>
      </x:c>
      <x:c r="L35" s="14" t="n">
        <x:f>SUM(I35:K35)</x:f>
        <x:v>367000</x:v>
      </x:c>
      <x:c r="M35" s="14" t="n">
        <x:f>H35-L35</x:f>
        <x:v>941000</x:v>
      </x:c>
    </x:row>
    <x:row r="36">
      <x:c r="A36" t="str">
        <x:v>T0035</x:v>
      </x:c>
      <x:c r="B36" t="n">
        <x:v>1</x:v>
      </x:c>
      <x:c r="C36" t="str">
        <x:v>C030</x:v>
      </x:c>
      <x:c r="D36" t="str">
        <x:v>BPO</x:v>
      </x:c>
      <x:c r="E36" t="str">
        <x:v>Q1</x:v>
      </x:c>
      <x:c r="F36" t="str">
        <x:v>継続契約</x:v>
      </x:c>
      <x:c r="G36" t="str">
        <x:v>業務運用代行</x:v>
      </x:c>
      <x:c r="H36" s="16" t="n">
        <x:v>1258000</x:v>
      </x:c>
      <x:c r="I36" s="16" t="n">
        <x:v>253000</x:v>
      </x:c>
      <x:c r="J36" s="16" t="n">
        <x:v>43000</x:v>
      </x:c>
      <x:c r="K36" s="16" t="n">
        <x:v>37000</x:v>
      </x:c>
      <x:c r="L36" s="14" t="n">
        <x:f>SUM(I36:K36)</x:f>
        <x:v>333000</x:v>
      </x:c>
      <x:c r="M36" s="14" t="n">
        <x:f>H36-L36</x:f>
        <x:v>925000</x:v>
      </x:c>
    </x:row>
    <x:row r="37">
      <x:c r="A37" t="str">
        <x:v>T0036</x:v>
      </x:c>
      <x:c r="B37" t="n">
        <x:v>1</x:v>
      </x:c>
      <x:c r="C37" t="str">
        <x:v>C031</x:v>
      </x:c>
      <x:c r="D37" t="str">
        <x:v>BPO</x:v>
      </x:c>
      <x:c r="E37" t="str">
        <x:v>Q1</x:v>
      </x:c>
      <x:c r="F37" t="str">
        <x:v>継続契約</x:v>
      </x:c>
      <x:c r="G37" t="str">
        <x:v>業務運用代行</x:v>
      </x:c>
      <x:c r="H37" s="16" t="n">
        <x:v>1200000</x:v>
      </x:c>
      <x:c r="I37" s="16" t="n">
        <x:v>264000</x:v>
      </x:c>
      <x:c r="J37" s="16" t="n">
        <x:v>45000</x:v>
      </x:c>
      <x:c r="K37" s="16" t="n">
        <x:v>39000</x:v>
      </x:c>
      <x:c r="L37" s="14" t="n">
        <x:f>SUM(I37:K37)</x:f>
        <x:v>348000</x:v>
      </x:c>
      <x:c r="M37" s="14" t="n">
        <x:f>H37-L37</x:f>
        <x:v>852000</x:v>
      </x:c>
    </x:row>
    <x:row r="38">
      <x:c r="A38" t="str">
        <x:v>T0037</x:v>
      </x:c>
      <x:c r="B38" t="n">
        <x:v>1</x:v>
      </x:c>
      <x:c r="C38" t="str">
        <x:v>C033</x:v>
      </x:c>
      <x:c r="D38" t="str">
        <x:v>BPO</x:v>
      </x:c>
      <x:c r="E38" t="str">
        <x:v>Q1</x:v>
      </x:c>
      <x:c r="F38" t="str">
        <x:v>継続契約</x:v>
      </x:c>
      <x:c r="G38" t="str">
        <x:v>業務運用代行</x:v>
      </x:c>
      <x:c r="H38" s="16" t="n">
        <x:v>1300000</x:v>
      </x:c>
      <x:c r="I38" s="16" t="n">
        <x:v>233000</x:v>
      </x:c>
      <x:c r="J38" s="16" t="n">
        <x:v>40000</x:v>
      </x:c>
      <x:c r="K38" s="16" t="n">
        <x:v>33000</x:v>
      </x:c>
      <x:c r="L38" s="14" t="n">
        <x:f>SUM(I38:K38)</x:f>
        <x:v>306000</x:v>
      </x:c>
      <x:c r="M38" s="14" t="n">
        <x:f>H38-L38</x:f>
        <x:v>994000</x:v>
      </x:c>
    </x:row>
    <x:row r="39">
      <x:c r="A39" t="str">
        <x:v>T0038</x:v>
      </x:c>
      <x:c r="B39" t="n">
        <x:v>1</x:v>
      </x:c>
      <x:c r="C39" t="str">
        <x:v>C034</x:v>
      </x:c>
      <x:c r="D39" t="str">
        <x:v>TRN</x:v>
      </x:c>
      <x:c r="E39" t="str">
        <x:v>Q1</x:v>
      </x:c>
      <x:c r="F39" t="str">
        <x:v>継続契約</x:v>
      </x:c>
      <x:c r="G39" t="str">
        <x:v>研修プログラム</x:v>
      </x:c>
      <x:c r="H39" s="16" t="n">
        <x:v>1302000</x:v>
      </x:c>
      <x:c r="I39" s="16" t="n">
        <x:v>96000</x:v>
      </x:c>
      <x:c r="J39" s="16" t="n">
        <x:v>48000</x:v>
      </x:c>
      <x:c r="K39" s="16" t="n">
        <x:v>123000</x:v>
      </x:c>
      <x:c r="L39" s="14" t="n">
        <x:f>SUM(I39:K39)</x:f>
        <x:v>267000</x:v>
      </x:c>
      <x:c r="M39" s="14" t="n">
        <x:f>H39-L39</x:f>
        <x:v>1035000</x:v>
      </x:c>
    </x:row>
    <x:row r="40">
      <x:c r="A40" t="str">
        <x:v>T0039</x:v>
      </x:c>
      <x:c r="B40" t="n">
        <x:v>1</x:v>
      </x:c>
      <x:c r="C40" t="str">
        <x:v>C036</x:v>
      </x:c>
      <x:c r="D40" t="str">
        <x:v>TRN</x:v>
      </x:c>
      <x:c r="E40" t="str">
        <x:v>Q1</x:v>
      </x:c>
      <x:c r="F40" t="str">
        <x:v>継続契約</x:v>
      </x:c>
      <x:c r="G40" t="str">
        <x:v>研修プログラム</x:v>
      </x:c>
      <x:c r="H40" s="16" t="n">
        <x:v>575000</x:v>
      </x:c>
      <x:c r="I40" s="16" t="n">
        <x:v>44000</x:v>
      </x:c>
      <x:c r="J40" s="16" t="n">
        <x:v>22000</x:v>
      </x:c>
      <x:c r="K40" s="16" t="n">
        <x:v>56000</x:v>
      </x:c>
      <x:c r="L40" s="14" t="n">
        <x:f>SUM(I40:K40)</x:f>
        <x:v>122000</x:v>
      </x:c>
      <x:c r="M40" s="14" t="n">
        <x:f>H40-L40</x:f>
        <x:v>453000</x:v>
      </x:c>
    </x:row>
    <x:row r="41">
      <x:c r="A41" t="str">
        <x:v>T0040</x:v>
      </x:c>
      <x:c r="B41" t="n">
        <x:v>1</x:v>
      </x:c>
      <x:c r="C41" t="str">
        <x:v>C036</x:v>
      </x:c>
      <x:c r="D41" t="str">
        <x:v>TRN</x:v>
      </x:c>
      <x:c r="E41" t="str">
        <x:v>Q1</x:v>
      </x:c>
      <x:c r="F41" t="str">
        <x:v>継続契約</x:v>
      </x:c>
      <x:c r="G41" t="str">
        <x:v>研修プログラム</x:v>
      </x:c>
      <x:c r="H41" s="16" t="n">
        <x:v>596000</x:v>
      </x:c>
      <x:c r="I41" s="16" t="n">
        <x:v>45000</x:v>
      </x:c>
      <x:c r="J41" s="16" t="n">
        <x:v>22000</x:v>
      </x:c>
      <x:c r="K41" s="16" t="n">
        <x:v>58000</x:v>
      </x:c>
      <x:c r="L41" s="14" t="n">
        <x:f>SUM(I41:K41)</x:f>
        <x:v>125000</x:v>
      </x:c>
      <x:c r="M41" s="14" t="n">
        <x:f>H41-L41</x:f>
        <x:v>471000</x:v>
      </x:c>
    </x:row>
    <x:row r="42">
      <x:c r="A42" t="str">
        <x:v>T0041</x:v>
      </x:c>
      <x:c r="B42" t="n">
        <x:v>1</x:v>
      </x:c>
      <x:c r="C42" t="str">
        <x:v>C037</x:v>
      </x:c>
      <x:c r="D42" t="str">
        <x:v>TRN</x:v>
      </x:c>
      <x:c r="E42" t="str">
        <x:v>Q1</x:v>
      </x:c>
      <x:c r="F42" t="str">
        <x:v>継続契約</x:v>
      </x:c>
      <x:c r="G42" t="str">
        <x:v>研修プログラム</x:v>
      </x:c>
      <x:c r="H42" s="16" t="n">
        <x:v>369000</x:v>
      </x:c>
      <x:c r="I42" s="16" t="n">
        <x:v>28000</x:v>
      </x:c>
      <x:c r="J42" s="16" t="n">
        <x:v>14000</x:v>
      </x:c>
      <x:c r="K42" s="16" t="n">
        <x:v>35000</x:v>
      </x:c>
      <x:c r="L42" s="14" t="n">
        <x:f>SUM(I42:K42)</x:f>
        <x:v>77000</x:v>
      </x:c>
      <x:c r="M42" s="14" t="n">
        <x:f>H42-L42</x:f>
        <x:v>292000</x:v>
      </x:c>
    </x:row>
    <x:row r="43">
      <x:c r="A43" t="str">
        <x:v>T0042</x:v>
      </x:c>
      <x:c r="B43" t="n">
        <x:v>1</x:v>
      </x:c>
      <x:c r="C43" t="str">
        <x:v>C037</x:v>
      </x:c>
      <x:c r="D43" t="str">
        <x:v>TRN</x:v>
      </x:c>
      <x:c r="E43" t="str">
        <x:v>Q1</x:v>
      </x:c>
      <x:c r="F43" t="str">
        <x:v>継続契約</x:v>
      </x:c>
      <x:c r="G43" t="str">
        <x:v>研修プログラム</x:v>
      </x:c>
      <x:c r="H43" s="16" t="n">
        <x:v>439000</x:v>
      </x:c>
      <x:c r="I43" s="16" t="n">
        <x:v>22000</x:v>
      </x:c>
      <x:c r="J43" s="16" t="n">
        <x:v>11000</x:v>
      </x:c>
      <x:c r="K43" s="16" t="n">
        <x:v>28000</x:v>
      </x:c>
      <x:c r="L43" s="14" t="n">
        <x:f>SUM(I43:K43)</x:f>
        <x:v>61000</x:v>
      </x:c>
      <x:c r="M43" s="14" t="n">
        <x:f>H43-L43</x:f>
        <x:v>378000</x:v>
      </x:c>
    </x:row>
    <x:row r="44">
      <x:c r="A44" t="str">
        <x:v>T0043</x:v>
      </x:c>
      <x:c r="B44" t="n">
        <x:v>1</x:v>
      </x:c>
      <x:c r="C44" t="str">
        <x:v>C039</x:v>
      </x:c>
      <x:c r="D44" t="str">
        <x:v>TRN</x:v>
      </x:c>
      <x:c r="E44" t="str">
        <x:v>Q1</x:v>
      </x:c>
      <x:c r="F44" t="str">
        <x:v>継続契約</x:v>
      </x:c>
      <x:c r="G44" t="str">
        <x:v>研修プログラム</x:v>
      </x:c>
      <x:c r="H44" s="16" t="n">
        <x:v>664000</x:v>
      </x:c>
      <x:c r="I44" s="16" t="n">
        <x:v>40000</x:v>
      </x:c>
      <x:c r="J44" s="16" t="n">
        <x:v>20000</x:v>
      </x:c>
      <x:c r="K44" s="16" t="n">
        <x:v>50000</x:v>
      </x:c>
      <x:c r="L44" s="14" t="n">
        <x:f>SUM(I44:K44)</x:f>
        <x:v>110000</x:v>
      </x:c>
      <x:c r="M44" s="14" t="n">
        <x:f>H44-L44</x:f>
        <x:v>554000</x:v>
      </x:c>
    </x:row>
    <x:row r="45">
      <x:c r="A45" t="str">
        <x:v>T0044</x:v>
      </x:c>
      <x:c r="B45" t="n">
        <x:v>1</x:v>
      </x:c>
      <x:c r="C45" t="str">
        <x:v>C042</x:v>
      </x:c>
      <x:c r="D45" t="str">
        <x:v>TRN</x:v>
      </x:c>
      <x:c r="E45" t="str">
        <x:v>Q1</x:v>
      </x:c>
      <x:c r="F45" t="str">
        <x:v>継続契約</x:v>
      </x:c>
      <x:c r="G45" t="str">
        <x:v>研修プログラム</x:v>
      </x:c>
      <x:c r="H45" s="16" t="n">
        <x:v>432000</x:v>
      </x:c>
      <x:c r="I45" s="16" t="n">
        <x:v>21000</x:v>
      </x:c>
      <x:c r="J45" s="16" t="n">
        <x:v>11000</x:v>
      </x:c>
      <x:c r="K45" s="16" t="n">
        <x:v>27000</x:v>
      </x:c>
      <x:c r="L45" s="14" t="n">
        <x:f>SUM(I45:K45)</x:f>
        <x:v>59000</x:v>
      </x:c>
      <x:c r="M45" s="14" t="n">
        <x:f>H45-L45</x:f>
        <x:v>373000</x:v>
      </x:c>
    </x:row>
    <x:row r="46">
      <x:c r="A46" t="str">
        <x:v>T0045</x:v>
      </x:c>
      <x:c r="B46" t="n">
        <x:v>1</x:v>
      </x:c>
      <x:c r="C46" t="str">
        <x:v>C042</x:v>
      </x:c>
      <x:c r="D46" t="str">
        <x:v>TRN</x:v>
      </x:c>
      <x:c r="E46" t="str">
        <x:v>Q1</x:v>
      </x:c>
      <x:c r="F46" t="str">
        <x:v>継続契約</x:v>
      </x:c>
      <x:c r="G46" t="str">
        <x:v>研修プログラム</x:v>
      </x:c>
      <x:c r="H46" s="16" t="n">
        <x:v>281000</x:v>
      </x:c>
      <x:c r="I46" s="16" t="n">
        <x:v>14000</x:v>
      </x:c>
      <x:c r="J46" s="16" t="n">
        <x:v>7000</x:v>
      </x:c>
      <x:c r="K46" s="16" t="n">
        <x:v>19000</x:v>
      </x:c>
      <x:c r="L46" s="14" t="n">
        <x:f>SUM(I46:K46)</x:f>
        <x:v>40000</x:v>
      </x:c>
      <x:c r="M46" s="14" t="n">
        <x:f>H46-L46</x:f>
        <x:v>241000</x:v>
      </x:c>
    </x:row>
    <x:row r="47">
      <x:c r="A47" t="str">
        <x:v>T0046</x:v>
      </x:c>
      <x:c r="B47" t="n">
        <x:v>1</x:v>
      </x:c>
      <x:c r="C47" t="str">
        <x:v>C043</x:v>
      </x:c>
      <x:c r="D47" t="str">
        <x:v>TRN</x:v>
      </x:c>
      <x:c r="E47" t="str">
        <x:v>Q1</x:v>
      </x:c>
      <x:c r="F47" t="str">
        <x:v>継続契約</x:v>
      </x:c>
      <x:c r="G47" t="str">
        <x:v>研修プログラム</x:v>
      </x:c>
      <x:c r="H47" s="16" t="n">
        <x:v>697000</x:v>
      </x:c>
      <x:c r="I47" s="16" t="n">
        <x:v>48000</x:v>
      </x:c>
      <x:c r="J47" s="16" t="n">
        <x:v>24000</x:v>
      </x:c>
      <x:c r="K47" s="16" t="n">
        <x:v>60000</x:v>
      </x:c>
      <x:c r="L47" s="14" t="n">
        <x:f>SUM(I47:K47)</x:f>
        <x:v>132000</x:v>
      </x:c>
      <x:c r="M47" s="14" t="n">
        <x:f>H47-L47</x:f>
        <x:v>565000</x:v>
      </x:c>
    </x:row>
    <x:row r="48">
      <x:c r="A48" t="str">
        <x:v>T0047</x:v>
      </x:c>
      <x:c r="B48" t="n">
        <x:v>1</x:v>
      </x:c>
      <x:c r="C48" t="str">
        <x:v>C044</x:v>
      </x:c>
      <x:c r="D48" t="str">
        <x:v>TRN</x:v>
      </x:c>
      <x:c r="E48" t="str">
        <x:v>Q1</x:v>
      </x:c>
      <x:c r="F48" t="str">
        <x:v>継続契約</x:v>
      </x:c>
      <x:c r="G48" t="str">
        <x:v>研修プログラム</x:v>
      </x:c>
      <x:c r="H48" s="16" t="n">
        <x:v>962000</x:v>
      </x:c>
      <x:c r="I48" s="16" t="n">
        <x:v>73000</x:v>
      </x:c>
      <x:c r="J48" s="16" t="n">
        <x:v>37000</x:v>
      </x:c>
      <x:c r="K48" s="16" t="n">
        <x:v>93000</x:v>
      </x:c>
      <x:c r="L48" s="14" t="n">
        <x:f>SUM(I48:K48)</x:f>
        <x:v>203000</x:v>
      </x:c>
      <x:c r="M48" s="14" t="n">
        <x:f>H48-L48</x:f>
        <x:v>759000</x:v>
      </x:c>
    </x:row>
    <x:row r="49">
      <x:c r="A49" t="str">
        <x:v>T0048</x:v>
      </x:c>
      <x:c r="B49" t="n">
        <x:v>1</x:v>
      </x:c>
      <x:c r="C49" t="str">
        <x:v>C045</x:v>
      </x:c>
      <x:c r="D49" t="str">
        <x:v>TRN</x:v>
      </x:c>
      <x:c r="E49" t="str">
        <x:v>Q1</x:v>
      </x:c>
      <x:c r="F49" t="str">
        <x:v>スポット中心</x:v>
      </x:c>
      <x:c r="G49" t="str">
        <x:v>研修プログラム</x:v>
      </x:c>
      <x:c r="H49" s="16" t="n">
        <x:v>1195000</x:v>
      </x:c>
      <x:c r="I49" s="16" t="n">
        <x:v>48000</x:v>
      </x:c>
      <x:c r="J49" s="16" t="n">
        <x:v>24000</x:v>
      </x:c>
      <x:c r="K49" s="16" t="n">
        <x:v>61000</x:v>
      </x:c>
      <x:c r="L49" s="14" t="n">
        <x:f>SUM(I49:K49)</x:f>
        <x:v>133000</x:v>
      </x:c>
      <x:c r="M49" s="14" t="n">
        <x:f>H49-L49</x:f>
        <x:v>1062000</x:v>
      </x:c>
    </x:row>
    <x:row r="50">
      <x:c r="A50" t="str">
        <x:v>T0049</x:v>
      </x:c>
      <x:c r="B50" t="n">
        <x:v>2</x:v>
      </x:c>
      <x:c r="C50" t="str">
        <x:v>C001</x:v>
      </x:c>
      <x:c r="D50" t="str">
        <x:v>IT</x:v>
      </x:c>
      <x:c r="E50" t="str">
        <x:v>Q1</x:v>
      </x:c>
      <x:c r="F50" t="str">
        <x:v>継続契約</x:v>
      </x:c>
      <x:c r="G50" t="str">
        <x:v>導入・運用支援</x:v>
      </x:c>
      <x:c r="H50" s="16" t="n">
        <x:v>2588000</x:v>
      </x:c>
      <x:c r="I50" s="16" t="n">
        <x:v>527000</x:v>
      </x:c>
      <x:c r="J50" s="16" t="n">
        <x:v>335000</x:v>
      </x:c>
      <x:c r="K50" s="16" t="n">
        <x:v>96000</x:v>
      </x:c>
      <x:c r="L50" s="14" t="n">
        <x:f>SUM(I50:K50)</x:f>
        <x:v>958000</x:v>
      </x:c>
      <x:c r="M50" s="14" t="n">
        <x:f>H50-L50</x:f>
        <x:v>1630000</x:v>
      </x:c>
    </x:row>
    <x:row r="51">
      <x:c r="A51" t="str">
        <x:v>T0050</x:v>
      </x:c>
      <x:c r="B51" t="n">
        <x:v>2</x:v>
      </x:c>
      <x:c r="C51" t="str">
        <x:v>C001</x:v>
      </x:c>
      <x:c r="D51" t="str">
        <x:v>IT</x:v>
      </x:c>
      <x:c r="E51" t="str">
        <x:v>Q1</x:v>
      </x:c>
      <x:c r="F51" t="str">
        <x:v>継続契約</x:v>
      </x:c>
      <x:c r="G51" t="str">
        <x:v>導入・運用支援</x:v>
      </x:c>
      <x:c r="H51" s="16" t="n">
        <x:v>2397000</x:v>
      </x:c>
      <x:c r="I51" s="16" t="n">
        <x:v>426000</x:v>
      </x:c>
      <x:c r="J51" s="16" t="n">
        <x:v>271000</x:v>
      </x:c>
      <x:c r="K51" s="16" t="n">
        <x:v>77000</x:v>
      </x:c>
      <x:c r="L51" s="14" t="n">
        <x:f>SUM(I51:K51)</x:f>
        <x:v>774000</x:v>
      </x:c>
      <x:c r="M51" s="14" t="n">
        <x:f>H51-L51</x:f>
        <x:v>1623000</x:v>
      </x:c>
    </x:row>
    <x:row r="52">
      <x:c r="A52" t="str">
        <x:v>T0051</x:v>
      </x:c>
      <x:c r="B52" t="n">
        <x:v>2</x:v>
      </x:c>
      <x:c r="C52" t="str">
        <x:v>C003</x:v>
      </x:c>
      <x:c r="D52" t="str">
        <x:v>IT</x:v>
      </x:c>
      <x:c r="E52" t="str">
        <x:v>Q1</x:v>
      </x:c>
      <x:c r="F52" t="str">
        <x:v>継続契約</x:v>
      </x:c>
      <x:c r="G52" t="str">
        <x:v>導入・運用支援</x:v>
      </x:c>
      <x:c r="H52" s="16" t="n">
        <x:v>1489000</x:v>
      </x:c>
      <x:c r="I52" s="16" t="n">
        <x:v>259000</x:v>
      </x:c>
      <x:c r="J52" s="16" t="n">
        <x:v>164000</x:v>
      </x:c>
      <x:c r="K52" s="16" t="n">
        <x:v>47000</x:v>
      </x:c>
      <x:c r="L52" s="14" t="n">
        <x:f>SUM(I52:K52)</x:f>
        <x:v>470000</x:v>
      </x:c>
      <x:c r="M52" s="14" t="n">
        <x:f>H52-L52</x:f>
        <x:v>1019000</x:v>
      </x:c>
    </x:row>
    <x:row r="53">
      <x:c r="A53" t="str">
        <x:v>T0052</x:v>
      </x:c>
      <x:c r="B53" t="n">
        <x:v>2</x:v>
      </x:c>
      <x:c r="C53" t="str">
        <x:v>C003</x:v>
      </x:c>
      <x:c r="D53" t="str">
        <x:v>IT</x:v>
      </x:c>
      <x:c r="E53" t="str">
        <x:v>Q1</x:v>
      </x:c>
      <x:c r="F53" t="str">
        <x:v>継続契約</x:v>
      </x:c>
      <x:c r="G53" t="str">
        <x:v>導入・運用支援</x:v>
      </x:c>
      <x:c r="H53" s="16" t="n">
        <x:v>1649000</x:v>
      </x:c>
      <x:c r="I53" s="16" t="n">
        <x:v>267000</x:v>
      </x:c>
      <x:c r="J53" s="16" t="n">
        <x:v>170000</x:v>
      </x:c>
      <x:c r="K53" s="16" t="n">
        <x:v>49000</x:v>
      </x:c>
      <x:c r="L53" s="14" t="n">
        <x:f>SUM(I53:K53)</x:f>
        <x:v>486000</x:v>
      </x:c>
      <x:c r="M53" s="14" t="n">
        <x:f>H53-L53</x:f>
        <x:v>1163000</x:v>
      </x:c>
    </x:row>
    <x:row r="54">
      <x:c r="A54" t="str">
        <x:v>T0053</x:v>
      </x:c>
      <x:c r="B54" t="n">
        <x:v>2</x:v>
      </x:c>
      <x:c r="C54" t="str">
        <x:v>C007</x:v>
      </x:c>
      <x:c r="D54" t="str">
        <x:v>IT</x:v>
      </x:c>
      <x:c r="E54" t="str">
        <x:v>Q1</x:v>
      </x:c>
      <x:c r="F54" t="str">
        <x:v>継続契約</x:v>
      </x:c>
      <x:c r="G54" t="str">
        <x:v>導入・運用支援</x:v>
      </x:c>
      <x:c r="H54" s="16" t="n">
        <x:v>727000</x:v>
      </x:c>
      <x:c r="I54" s="16" t="n">
        <x:v>142000</x:v>
      </x:c>
      <x:c r="J54" s="16" t="n">
        <x:v>90000</x:v>
      </x:c>
      <x:c r="K54" s="16" t="n">
        <x:v>26000</x:v>
      </x:c>
      <x:c r="L54" s="14" t="n">
        <x:f>SUM(I54:K54)</x:f>
        <x:v>258000</x:v>
      </x:c>
      <x:c r="M54" s="14" t="n">
        <x:f>H54-L54</x:f>
        <x:v>469000</x:v>
      </x:c>
    </x:row>
    <x:row r="55">
      <x:c r="A55" t="str">
        <x:v>T0054</x:v>
      </x:c>
      <x:c r="B55" t="n">
        <x:v>2</x:v>
      </x:c>
      <x:c r="C55" t="str">
        <x:v>C007</x:v>
      </x:c>
      <x:c r="D55" t="str">
        <x:v>IT</x:v>
      </x:c>
      <x:c r="E55" t="str">
        <x:v>Q1</x:v>
      </x:c>
      <x:c r="F55" t="str">
        <x:v>継続契約</x:v>
      </x:c>
      <x:c r="G55" t="str">
        <x:v>導入・運用支援</x:v>
      </x:c>
      <x:c r="H55" s="16" t="n">
        <x:v>558000</x:v>
      </x:c>
      <x:c r="I55" s="16" t="n">
        <x:v>120000</x:v>
      </x:c>
      <x:c r="J55" s="16" t="n">
        <x:v>76000</x:v>
      </x:c>
      <x:c r="K55" s="16" t="n">
        <x:v>22000</x:v>
      </x:c>
      <x:c r="L55" s="14" t="n">
        <x:f>SUM(I55:K55)</x:f>
        <x:v>218000</x:v>
      </x:c>
      <x:c r="M55" s="14" t="n">
        <x:f>H55-L55</x:f>
        <x:v>340000</x:v>
      </x:c>
    </x:row>
    <x:row r="56">
      <x:c r="A56" t="str">
        <x:v>T0055</x:v>
      </x:c>
      <x:c r="B56" t="n">
        <x:v>2</x:v>
      </x:c>
      <x:c r="C56" t="str">
        <x:v>C010</x:v>
      </x:c>
      <x:c r="D56" t="str">
        <x:v>IT</x:v>
      </x:c>
      <x:c r="E56" t="str">
        <x:v>Q1</x:v>
      </x:c>
      <x:c r="F56" t="str">
        <x:v>スポット中心</x:v>
      </x:c>
      <x:c r="G56" t="str">
        <x:v>導入・運用支援</x:v>
      </x:c>
      <x:c r="H56" s="16" t="n">
        <x:v>668000</x:v>
      </x:c>
      <x:c r="I56" s="16" t="n">
        <x:v>125000</x:v>
      </x:c>
      <x:c r="J56" s="16" t="n">
        <x:v>80000</x:v>
      </x:c>
      <x:c r="K56" s="16" t="n">
        <x:v>23000</x:v>
      </x:c>
      <x:c r="L56" s="14" t="n">
        <x:f>SUM(I56:K56)</x:f>
        <x:v>228000</x:v>
      </x:c>
      <x:c r="M56" s="14" t="n">
        <x:f>H56-L56</x:f>
        <x:v>440000</x:v>
      </x:c>
    </x:row>
    <x:row r="57">
      <x:c r="A57" t="str">
        <x:v>T0056</x:v>
      </x:c>
      <x:c r="B57" t="n">
        <x:v>2</x:v>
      </x:c>
      <x:c r="C57" t="str">
        <x:v>C010</x:v>
      </x:c>
      <x:c r="D57" t="str">
        <x:v>IT</x:v>
      </x:c>
      <x:c r="E57" t="str">
        <x:v>Q1</x:v>
      </x:c>
      <x:c r="F57" t="str">
        <x:v>スポット中心</x:v>
      </x:c>
      <x:c r="G57" t="str">
        <x:v>導入・運用支援</x:v>
      </x:c>
      <x:c r="H57" s="16" t="n">
        <x:v>871000</x:v>
      </x:c>
      <x:c r="I57" s="16" t="n">
        <x:v>173000</x:v>
      </x:c>
      <x:c r="J57" s="16" t="n">
        <x:v>110000</x:v>
      </x:c>
      <x:c r="K57" s="16" t="n">
        <x:v>32000</x:v>
      </x:c>
      <x:c r="L57" s="14" t="n">
        <x:f>SUM(I57:K57)</x:f>
        <x:v>315000</x:v>
      </x:c>
      <x:c r="M57" s="14" t="n">
        <x:f>H57-L57</x:f>
        <x:v>556000</x:v>
      </x:c>
    </x:row>
    <x:row r="58">
      <x:c r="A58" t="str">
        <x:v>T0057</x:v>
      </x:c>
      <x:c r="B58" t="n">
        <x:v>2</x:v>
      </x:c>
      <x:c r="C58" t="str">
        <x:v>C011</x:v>
      </x:c>
      <x:c r="D58" t="str">
        <x:v>IT</x:v>
      </x:c>
      <x:c r="E58" t="str">
        <x:v>Q1</x:v>
      </x:c>
      <x:c r="F58" t="str">
        <x:v>継続契約</x:v>
      </x:c>
      <x:c r="G58" t="str">
        <x:v>導入・運用支援</x:v>
      </x:c>
      <x:c r="H58" s="16" t="n">
        <x:v>586000</x:v>
      </x:c>
      <x:c r="I58" s="16" t="n">
        <x:v>127000</x:v>
      </x:c>
      <x:c r="J58" s="16" t="n">
        <x:v>81000</x:v>
      </x:c>
      <x:c r="K58" s="16" t="n">
        <x:v>23000</x:v>
      </x:c>
      <x:c r="L58" s="14" t="n">
        <x:f>SUM(I58:K58)</x:f>
        <x:v>231000</x:v>
      </x:c>
      <x:c r="M58" s="14" t="n">
        <x:f>H58-L58</x:f>
        <x:v>355000</x:v>
      </x:c>
    </x:row>
    <x:row r="59">
      <x:c r="A59" t="str">
        <x:v>T0058</x:v>
      </x:c>
      <x:c r="B59" t="n">
        <x:v>2</x:v>
      </x:c>
      <x:c r="C59" t="str">
        <x:v>C011</x:v>
      </x:c>
      <x:c r="D59" t="str">
        <x:v>IT</x:v>
      </x:c>
      <x:c r="E59" t="str">
        <x:v>Q1</x:v>
      </x:c>
      <x:c r="F59" t="str">
        <x:v>継続契約</x:v>
      </x:c>
      <x:c r="G59" t="str">
        <x:v>導入・運用支援</x:v>
      </x:c>
      <x:c r="H59" s="16" t="n">
        <x:v>483000</x:v>
      </x:c>
      <x:c r="I59" s="16" t="n">
        <x:v>96000</x:v>
      </x:c>
      <x:c r="J59" s="16" t="n">
        <x:v>61000</x:v>
      </x:c>
      <x:c r="K59" s="16" t="n">
        <x:v>18000</x:v>
      </x:c>
      <x:c r="L59" s="14" t="n">
        <x:f>SUM(I59:K59)</x:f>
        <x:v>175000</x:v>
      </x:c>
      <x:c r="M59" s="14" t="n">
        <x:f>H59-L59</x:f>
        <x:v>308000</x:v>
      </x:c>
    </x:row>
    <x:row r="60">
      <x:c r="A60" t="str">
        <x:v>T0059</x:v>
      </x:c>
      <x:c r="B60" t="n">
        <x:v>2</x:v>
      </x:c>
      <x:c r="C60" t="str">
        <x:v>C012</x:v>
      </x:c>
      <x:c r="D60" t="str">
        <x:v>IT</x:v>
      </x:c>
      <x:c r="E60" t="str">
        <x:v>Q1</x:v>
      </x:c>
      <x:c r="F60" t="str">
        <x:v>継続契約</x:v>
      </x:c>
      <x:c r="G60" t="str">
        <x:v>導入・運用支援</x:v>
      </x:c>
      <x:c r="H60" s="16" t="n">
        <x:v>561000</x:v>
      </x:c>
      <x:c r="I60" s="16" t="n">
        <x:v>121000</x:v>
      </x:c>
      <x:c r="J60" s="16" t="n">
        <x:v>77000</x:v>
      </x:c>
      <x:c r="K60" s="16" t="n">
        <x:v>22000</x:v>
      </x:c>
      <x:c r="L60" s="14" t="n">
        <x:f>SUM(I60:K60)</x:f>
        <x:v>220000</x:v>
      </x:c>
      <x:c r="M60" s="14" t="n">
        <x:f>H60-L60</x:f>
        <x:v>341000</x:v>
      </x:c>
    </x:row>
    <x:row r="61">
      <x:c r="A61" t="str">
        <x:v>T0060</x:v>
      </x:c>
      <x:c r="B61" t="n">
        <x:v>2</x:v>
      </x:c>
      <x:c r="C61" t="str">
        <x:v>C012</x:v>
      </x:c>
      <x:c r="D61" t="str">
        <x:v>IT</x:v>
      </x:c>
      <x:c r="E61" t="str">
        <x:v>Q1</x:v>
      </x:c>
      <x:c r="F61" t="str">
        <x:v>継続契約</x:v>
      </x:c>
      <x:c r="G61" t="str">
        <x:v>導入・運用支援</x:v>
      </x:c>
      <x:c r="H61" s="16" t="n">
        <x:v>424000</x:v>
      </x:c>
      <x:c r="I61" s="16" t="n">
        <x:v>68000</x:v>
      </x:c>
      <x:c r="J61" s="16" t="n">
        <x:v>43000</x:v>
      </x:c>
      <x:c r="K61" s="16" t="n">
        <x:v>13000</x:v>
      </x:c>
      <x:c r="L61" s="14" t="n">
        <x:f>SUM(I61:K61)</x:f>
        <x:v>124000</x:v>
      </x:c>
      <x:c r="M61" s="14" t="n">
        <x:f>H61-L61</x:f>
        <x:v>300000</x:v>
      </x:c>
    </x:row>
    <x:row r="62">
      <x:c r="A62" t="str">
        <x:v>T0061</x:v>
      </x:c>
      <x:c r="B62" t="n">
        <x:v>2</x:v>
      </x:c>
      <x:c r="C62" t="str">
        <x:v>C014</x:v>
      </x:c>
      <x:c r="D62" t="str">
        <x:v>IT</x:v>
      </x:c>
      <x:c r="E62" t="str">
        <x:v>Q1</x:v>
      </x:c>
      <x:c r="F62" t="str">
        <x:v>継続契約</x:v>
      </x:c>
      <x:c r="G62" t="str">
        <x:v>導入・運用支援</x:v>
      </x:c>
      <x:c r="H62" s="16" t="n">
        <x:v>365000</x:v>
      </x:c>
      <x:c r="I62" s="16" t="n">
        <x:v>72000</x:v>
      </x:c>
      <x:c r="J62" s="16" t="n">
        <x:v>46000</x:v>
      </x:c>
      <x:c r="K62" s="16" t="n">
        <x:v>12000</x:v>
      </x:c>
      <x:c r="L62" s="14" t="n">
        <x:f>SUM(I62:K62)</x:f>
        <x:v>130000</x:v>
      </x:c>
      <x:c r="M62" s="14" t="n">
        <x:f>H62-L62</x:f>
        <x:v>235000</x:v>
      </x:c>
    </x:row>
    <x:row r="63">
      <x:c r="A63" t="str">
        <x:v>T0062</x:v>
      </x:c>
      <x:c r="B63" t="n">
        <x:v>2</x:v>
      </x:c>
      <x:c r="C63" t="str">
        <x:v>C014</x:v>
      </x:c>
      <x:c r="D63" t="str">
        <x:v>IT</x:v>
      </x:c>
      <x:c r="E63" t="str">
        <x:v>Q1</x:v>
      </x:c>
      <x:c r="F63" t="str">
        <x:v>継続契約</x:v>
      </x:c>
      <x:c r="G63" t="str">
        <x:v>導入・運用支援</x:v>
      </x:c>
      <x:c r="H63" s="16" t="n">
        <x:v>414000</x:v>
      </x:c>
      <x:c r="I63" s="16" t="n">
        <x:v>67000</x:v>
      </x:c>
      <x:c r="J63" s="16" t="n">
        <x:v>43000</x:v>
      </x:c>
      <x:c r="K63" s="16" t="n">
        <x:v>12000</x:v>
      </x:c>
      <x:c r="L63" s="14" t="n">
        <x:f>SUM(I63:K63)</x:f>
        <x:v>122000</x:v>
      </x:c>
      <x:c r="M63" s="14" t="n">
        <x:f>H63-L63</x:f>
        <x:v>292000</x:v>
      </x:c>
    </x:row>
    <x:row r="64">
      <x:c r="A64" t="str">
        <x:v>T0063</x:v>
      </x:c>
      <x:c r="B64" t="n">
        <x:v>2</x:v>
      </x:c>
      <x:c r="C64" t="str">
        <x:v>C015</x:v>
      </x:c>
      <x:c r="D64" t="str">
        <x:v>IT</x:v>
      </x:c>
      <x:c r="E64" t="str">
        <x:v>Q1</x:v>
      </x:c>
      <x:c r="F64" t="str">
        <x:v>スポット中心</x:v>
      </x:c>
      <x:c r="G64" t="str">
        <x:v>導入・運用支援</x:v>
      </x:c>
      <x:c r="H64" s="16" t="n">
        <x:v>779000</x:v>
      </x:c>
      <x:c r="I64" s="16" t="n">
        <x:v>174000</x:v>
      </x:c>
      <x:c r="J64" s="16" t="n">
        <x:v>111000</x:v>
      </x:c>
      <x:c r="K64" s="16" t="n">
        <x:v>31000</x:v>
      </x:c>
      <x:c r="L64" s="14" t="n">
        <x:f>SUM(I64:K64)</x:f>
        <x:v>316000</x:v>
      </x:c>
      <x:c r="M64" s="14" t="n">
        <x:f>H64-L64</x:f>
        <x:v>463000</x:v>
      </x:c>
    </x:row>
    <x:row r="65">
      <x:c r="A65" t="str">
        <x:v>T0064</x:v>
      </x:c>
      <x:c r="B65" t="n">
        <x:v>2</x:v>
      </x:c>
      <x:c r="C65" t="str">
        <x:v>C015</x:v>
      </x:c>
      <x:c r="D65" t="str">
        <x:v>IT</x:v>
      </x:c>
      <x:c r="E65" t="str">
        <x:v>Q1</x:v>
      </x:c>
      <x:c r="F65" t="str">
        <x:v>スポット中心</x:v>
      </x:c>
      <x:c r="G65" t="str">
        <x:v>導入・運用支援</x:v>
      </x:c>
      <x:c r="H65" s="16" t="n">
        <x:v>799000</x:v>
      </x:c>
      <x:c r="I65" s="16" t="n">
        <x:v>135000</x:v>
      </x:c>
      <x:c r="J65" s="16" t="n">
        <x:v>86000</x:v>
      </x:c>
      <x:c r="K65" s="16" t="n">
        <x:v>24000</x:v>
      </x:c>
      <x:c r="L65" s="14" t="n">
        <x:f>SUM(I65:K65)</x:f>
        <x:v>245000</x:v>
      </x:c>
      <x:c r="M65" s="14" t="n">
        <x:f>H65-L65</x:f>
        <x:v>554000</x:v>
      </x:c>
    </x:row>
    <x:row r="66">
      <x:c r="A66" t="str">
        <x:v>T0065</x:v>
      </x:c>
      <x:c r="B66" t="n">
        <x:v>2</x:v>
      </x:c>
      <x:c r="C66" t="str">
        <x:v>C016</x:v>
      </x:c>
      <x:c r="D66" t="str">
        <x:v>IT</x:v>
      </x:c>
      <x:c r="E66" t="str">
        <x:v>Q1</x:v>
      </x:c>
      <x:c r="F66" t="str">
        <x:v>継続契約</x:v>
      </x:c>
      <x:c r="G66" t="str">
        <x:v>導入・運用支援</x:v>
      </x:c>
      <x:c r="H66" s="16" t="n">
        <x:v>1593000</x:v>
      </x:c>
      <x:c r="I66" s="16" t="n">
        <x:v>355000</x:v>
      </x:c>
      <x:c r="J66" s="16" t="n">
        <x:v>226000</x:v>
      </x:c>
      <x:c r="K66" s="16" t="n">
        <x:v>64000</x:v>
      </x:c>
      <x:c r="L66" s="14" t="n">
        <x:f>SUM(I66:K66)</x:f>
        <x:v>645000</x:v>
      </x:c>
      <x:c r="M66" s="14" t="n">
        <x:f>H66-L66</x:f>
        <x:v>948000</x:v>
      </x:c>
    </x:row>
    <x:row r="67">
      <x:c r="A67" t="str">
        <x:v>T0066</x:v>
      </x:c>
      <x:c r="B67" t="n">
        <x:v>2</x:v>
      </x:c>
      <x:c r="C67" t="str">
        <x:v>C017</x:v>
      </x:c>
      <x:c r="D67" t="str">
        <x:v>IT</x:v>
      </x:c>
      <x:c r="E67" t="str">
        <x:v>Q1</x:v>
      </x:c>
      <x:c r="F67" t="str">
        <x:v>継続契約</x:v>
      </x:c>
      <x:c r="G67" t="str">
        <x:v>導入・運用支援</x:v>
      </x:c>
      <x:c r="H67" s="16" t="n">
        <x:v>1273000</x:v>
      </x:c>
      <x:c r="I67" s="16" t="n">
        <x:v>261000</x:v>
      </x:c>
      <x:c r="J67" s="16" t="n">
        <x:v>166000</x:v>
      </x:c>
      <x:c r="K67" s="16" t="n">
        <x:v>48000</x:v>
      </x:c>
      <x:c r="L67" s="14" t="n">
        <x:f>SUM(I67:K67)</x:f>
        <x:v>475000</x:v>
      </x:c>
      <x:c r="M67" s="14" t="n">
        <x:f>H67-L67</x:f>
        <x:v>798000</x:v>
      </x:c>
    </x:row>
    <x:row r="68">
      <x:c r="A68" t="str">
        <x:v>T0067</x:v>
      </x:c>
      <x:c r="B68" t="n">
        <x:v>2</x:v>
      </x:c>
      <x:c r="C68" t="str">
        <x:v>C018</x:v>
      </x:c>
      <x:c r="D68" t="str">
        <x:v>IT</x:v>
      </x:c>
      <x:c r="E68" t="str">
        <x:v>Q1</x:v>
      </x:c>
      <x:c r="F68" t="str">
        <x:v>継続契約</x:v>
      </x:c>
      <x:c r="G68" t="str">
        <x:v>導入・運用支援</x:v>
      </x:c>
      <x:c r="H68" s="16" t="n">
        <x:v>851000</x:v>
      </x:c>
      <x:c r="I68" s="16" t="n">
        <x:v>168000</x:v>
      </x:c>
      <x:c r="J68" s="16" t="n">
        <x:v>107000</x:v>
      </x:c>
      <x:c r="K68" s="16" t="n">
        <x:v>30000</x:v>
      </x:c>
      <x:c r="L68" s="14" t="n">
        <x:f>SUM(I68:K68)</x:f>
        <x:v>305000</x:v>
      </x:c>
      <x:c r="M68" s="14" t="n">
        <x:f>H68-L68</x:f>
        <x:v>546000</x:v>
      </x:c>
    </x:row>
    <x:row r="69">
      <x:c r="A69" t="str">
        <x:v>T0068</x:v>
      </x:c>
      <x:c r="B69" t="n">
        <x:v>2</x:v>
      </x:c>
      <x:c r="C69" t="str">
        <x:v>C019</x:v>
      </x:c>
      <x:c r="D69" t="str">
        <x:v>BPO</x:v>
      </x:c>
      <x:c r="E69" t="str">
        <x:v>Q1</x:v>
      </x:c>
      <x:c r="F69" t="str">
        <x:v>継続契約</x:v>
      </x:c>
      <x:c r="G69" t="str">
        <x:v>業務運用代行</x:v>
      </x:c>
      <x:c r="H69" s="16" t="n">
        <x:v>1614000</x:v>
      </x:c>
      <x:c r="I69" s="16" t="n">
        <x:v>353000</x:v>
      </x:c>
      <x:c r="J69" s="16" t="n">
        <x:v>60000</x:v>
      </x:c>
      <x:c r="K69" s="16" t="n">
        <x:v>52000</x:v>
      </x:c>
      <x:c r="L69" s="14" t="n">
        <x:f>SUM(I69:K69)</x:f>
        <x:v>465000</x:v>
      </x:c>
      <x:c r="M69" s="14" t="n">
        <x:f>H69-L69</x:f>
        <x:v>1149000</x:v>
      </x:c>
    </x:row>
    <x:row r="70">
      <x:c r="A70" t="str">
        <x:v>T0069</x:v>
      </x:c>
      <x:c r="B70" t="n">
        <x:v>2</x:v>
      </x:c>
      <x:c r="C70" t="str">
        <x:v>C019</x:v>
      </x:c>
      <x:c r="D70" t="str">
        <x:v>BPO</x:v>
      </x:c>
      <x:c r="E70" t="str">
        <x:v>Q1</x:v>
      </x:c>
      <x:c r="F70" t="str">
        <x:v>継続契約</x:v>
      </x:c>
      <x:c r="G70" t="str">
        <x:v>業務運用代行</x:v>
      </x:c>
      <x:c r="H70" s="16" t="n">
        <x:v>1392000</x:v>
      </x:c>
      <x:c r="I70" s="16" t="n">
        <x:v>229000</x:v>
      </x:c>
      <x:c r="J70" s="16" t="n">
        <x:v>39000</x:v>
      </x:c>
      <x:c r="K70" s="16" t="n">
        <x:v>33000</x:v>
      </x:c>
      <x:c r="L70" s="14" t="n">
        <x:f>SUM(I70:K70)</x:f>
        <x:v>301000</x:v>
      </x:c>
      <x:c r="M70" s="14" t="n">
        <x:f>H70-L70</x:f>
        <x:v>1091000</x:v>
      </x:c>
    </x:row>
    <x:row r="71">
      <x:c r="A71" t="str">
        <x:v>T0070</x:v>
      </x:c>
      <x:c r="B71" t="n">
        <x:v>2</x:v>
      </x:c>
      <x:c r="C71" t="str">
        <x:v>C020</x:v>
      </x:c>
      <x:c r="D71" t="str">
        <x:v>BPO</x:v>
      </x:c>
      <x:c r="E71" t="str">
        <x:v>Q1</x:v>
      </x:c>
      <x:c r="F71" t="str">
        <x:v>継続契約</x:v>
      </x:c>
      <x:c r="G71" t="str">
        <x:v>業務運用代行</x:v>
      </x:c>
      <x:c r="H71" s="16" t="n">
        <x:v>2692000</x:v>
      </x:c>
      <x:c r="I71" s="16" t="n">
        <x:v>586000</x:v>
      </x:c>
      <x:c r="J71" s="16" t="n">
        <x:v>100000</x:v>
      </x:c>
      <x:c r="K71" s="16" t="n">
        <x:v>85000</x:v>
      </x:c>
      <x:c r="L71" s="14" t="n">
        <x:f>SUM(I71:K71)</x:f>
        <x:v>771000</x:v>
      </x:c>
      <x:c r="M71" s="14" t="n">
        <x:f>H71-L71</x:f>
        <x:v>1921000</x:v>
      </x:c>
    </x:row>
    <x:row r="72">
      <x:c r="A72" t="str">
        <x:v>T0071</x:v>
      </x:c>
      <x:c r="B72" t="n">
        <x:v>2</x:v>
      </x:c>
      <x:c r="C72" t="str">
        <x:v>C022</x:v>
      </x:c>
      <x:c r="D72" t="str">
        <x:v>BPO</x:v>
      </x:c>
      <x:c r="E72" t="str">
        <x:v>Q1</x:v>
      </x:c>
      <x:c r="F72" t="str">
        <x:v>継続契約</x:v>
      </x:c>
      <x:c r="G72" t="str">
        <x:v>業務運用代行</x:v>
      </x:c>
      <x:c r="H72" s="16" t="n">
        <x:v>369000</x:v>
      </x:c>
      <x:c r="I72" s="16" t="n">
        <x:v>81000</x:v>
      </x:c>
      <x:c r="J72" s="16" t="n">
        <x:v>14000</x:v>
      </x:c>
      <x:c r="K72" s="16" t="n">
        <x:v>11000</x:v>
      </x:c>
      <x:c r="L72" s="14" t="n">
        <x:f>SUM(I72:K72)</x:f>
        <x:v>106000</x:v>
      </x:c>
      <x:c r="M72" s="14" t="n">
        <x:f>H72-L72</x:f>
        <x:v>263000</x:v>
      </x:c>
    </x:row>
    <x:row r="73">
      <x:c r="A73" t="str">
        <x:v>T0072</x:v>
      </x:c>
      <x:c r="B73" t="n">
        <x:v>2</x:v>
      </x:c>
      <x:c r="C73" t="str">
        <x:v>C022</x:v>
      </x:c>
      <x:c r="D73" t="str">
        <x:v>BPO</x:v>
      </x:c>
      <x:c r="E73" t="str">
        <x:v>Q1</x:v>
      </x:c>
      <x:c r="F73" t="str">
        <x:v>継続契約</x:v>
      </x:c>
      <x:c r="G73" t="str">
        <x:v>業務運用代行</x:v>
      </x:c>
      <x:c r="H73" s="16" t="n">
        <x:v>477000</x:v>
      </x:c>
      <x:c r="I73" s="16" t="n">
        <x:v>79000</x:v>
      </x:c>
      <x:c r="J73" s="16" t="n">
        <x:v>14000</x:v>
      </x:c>
      <x:c r="K73" s="16" t="n">
        <x:v>11000</x:v>
      </x:c>
      <x:c r="L73" s="14" t="n">
        <x:f>SUM(I73:K73)</x:f>
        <x:v>104000</x:v>
      </x:c>
      <x:c r="M73" s="14" t="n">
        <x:f>H73-L73</x:f>
        <x:v>373000</x:v>
      </x:c>
    </x:row>
    <x:row r="74">
      <x:c r="A74" t="str">
        <x:v>T0073</x:v>
      </x:c>
      <x:c r="B74" t="n">
        <x:v>2</x:v>
      </x:c>
      <x:c r="C74" t="str">
        <x:v>C023</x:v>
      </x:c>
      <x:c r="D74" t="str">
        <x:v>BPO</x:v>
      </x:c>
      <x:c r="E74" t="str">
        <x:v>Q1</x:v>
      </x:c>
      <x:c r="F74" t="str">
        <x:v>継続契約</x:v>
      </x:c>
      <x:c r="G74" t="str">
        <x:v>業務運用代行</x:v>
      </x:c>
      <x:c r="H74" s="16" t="n">
        <x:v>947000</x:v>
      </x:c>
      <x:c r="I74" s="16" t="n">
        <x:v>182000</x:v>
      </x:c>
      <x:c r="J74" s="16" t="n">
        <x:v>31000</x:v>
      </x:c>
      <x:c r="K74" s="16" t="n">
        <x:v>27000</x:v>
      </x:c>
      <x:c r="L74" s="14" t="n">
        <x:f>SUM(I74:K74)</x:f>
        <x:v>240000</x:v>
      </x:c>
      <x:c r="M74" s="14" t="n">
        <x:f>H74-L74</x:f>
        <x:v>707000</x:v>
      </x:c>
    </x:row>
    <x:row r="75">
      <x:c r="A75" t="str">
        <x:v>T0074</x:v>
      </x:c>
      <x:c r="B75" t="n">
        <x:v>2</x:v>
      </x:c>
      <x:c r="C75" t="str">
        <x:v>C024</x:v>
      </x:c>
      <x:c r="D75" t="str">
        <x:v>BPO</x:v>
      </x:c>
      <x:c r="E75" t="str">
        <x:v>Q1</x:v>
      </x:c>
      <x:c r="F75" t="str">
        <x:v>継続契約</x:v>
      </x:c>
      <x:c r="G75" t="str">
        <x:v>業務運用代行</x:v>
      </x:c>
      <x:c r="H75" s="16" t="n">
        <x:v>1147000</x:v>
      </x:c>
      <x:c r="I75" s="16" t="n">
        <x:v>237000</x:v>
      </x:c>
      <x:c r="J75" s="16" t="n">
        <x:v>41000</x:v>
      </x:c>
      <x:c r="K75" s="16" t="n">
        <x:v>34000</x:v>
      </x:c>
      <x:c r="L75" s="14" t="n">
        <x:f>SUM(I75:K75)</x:f>
        <x:v>312000</x:v>
      </x:c>
      <x:c r="M75" s="14" t="n">
        <x:f>H75-L75</x:f>
        <x:v>835000</x:v>
      </x:c>
    </x:row>
    <x:row r="76">
      <x:c r="A76" t="str">
        <x:v>T0075</x:v>
      </x:c>
      <x:c r="B76" t="n">
        <x:v>2</x:v>
      </x:c>
      <x:c r="C76" t="str">
        <x:v>C025</x:v>
      </x:c>
      <x:c r="D76" t="str">
        <x:v>BPO</x:v>
      </x:c>
      <x:c r="E76" t="str">
        <x:v>Q1</x:v>
      </x:c>
      <x:c r="F76" t="str">
        <x:v>継続契約</x:v>
      </x:c>
      <x:c r="G76" t="str">
        <x:v>業務運用代行</x:v>
      </x:c>
      <x:c r="H76" s="16" t="n">
        <x:v>1149000</x:v>
      </x:c>
      <x:c r="I76" s="16" t="n">
        <x:v>211000</x:v>
      </x:c>
      <x:c r="J76" s="16" t="n">
        <x:v>36000</x:v>
      </x:c>
      <x:c r="K76" s="16" t="n">
        <x:v>31000</x:v>
      </x:c>
      <x:c r="L76" s="14" t="n">
        <x:f>SUM(I76:K76)</x:f>
        <x:v>278000</x:v>
      </x:c>
      <x:c r="M76" s="14" t="n">
        <x:f>H76-L76</x:f>
        <x:v>871000</x:v>
      </x:c>
    </x:row>
    <x:row r="77">
      <x:c r="A77" t="str">
        <x:v>T0076</x:v>
      </x:c>
      <x:c r="B77" t="n">
        <x:v>2</x:v>
      </x:c>
      <x:c r="C77" t="str">
        <x:v>C026</x:v>
      </x:c>
      <x:c r="D77" t="str">
        <x:v>BPO</x:v>
      </x:c>
      <x:c r="E77" t="str">
        <x:v>Q1</x:v>
      </x:c>
      <x:c r="F77" t="str">
        <x:v>継続契約</x:v>
      </x:c>
      <x:c r="G77" t="str">
        <x:v>業務運用代行</x:v>
      </x:c>
      <x:c r="H77" s="16" t="n">
        <x:v>961000</x:v>
      </x:c>
      <x:c r="I77" s="16" t="n">
        <x:v>195000</x:v>
      </x:c>
      <x:c r="J77" s="16" t="n">
        <x:v>33000</x:v>
      </x:c>
      <x:c r="K77" s="16" t="n">
        <x:v>28000</x:v>
      </x:c>
      <x:c r="L77" s="14" t="n">
        <x:f>SUM(I77:K77)</x:f>
        <x:v>256000</x:v>
      </x:c>
      <x:c r="M77" s="14" t="n">
        <x:f>H77-L77</x:f>
        <x:v>705000</x:v>
      </x:c>
    </x:row>
    <x:row r="78">
      <x:c r="A78" t="str">
        <x:v>T0077</x:v>
      </x:c>
      <x:c r="B78" t="n">
        <x:v>2</x:v>
      </x:c>
      <x:c r="C78" t="str">
        <x:v>C027</x:v>
      </x:c>
      <x:c r="D78" t="str">
        <x:v>BPO</x:v>
      </x:c>
      <x:c r="E78" t="str">
        <x:v>Q1</x:v>
      </x:c>
      <x:c r="F78" t="str">
        <x:v>継続契約</x:v>
      </x:c>
      <x:c r="G78" t="str">
        <x:v>業務運用代行</x:v>
      </x:c>
      <x:c r="H78" s="16" t="n">
        <x:v>1117000</x:v>
      </x:c>
      <x:c r="I78" s="16" t="n">
        <x:v>209000</x:v>
      </x:c>
      <x:c r="J78" s="16" t="n">
        <x:v>36000</x:v>
      </x:c>
      <x:c r="K78" s="16" t="n">
        <x:v>30000</x:v>
      </x:c>
      <x:c r="L78" s="14" t="n">
        <x:f>SUM(I78:K78)</x:f>
        <x:v>275000</x:v>
      </x:c>
      <x:c r="M78" s="14" t="n">
        <x:f>H78-L78</x:f>
        <x:v>842000</x:v>
      </x:c>
    </x:row>
    <x:row r="79">
      <x:c r="A79" t="str">
        <x:v>T0078</x:v>
      </x:c>
      <x:c r="B79" t="n">
        <x:v>2</x:v>
      </x:c>
      <x:c r="C79" t="str">
        <x:v>C028</x:v>
      </x:c>
      <x:c r="D79" t="str">
        <x:v>BPO</x:v>
      </x:c>
      <x:c r="E79" t="str">
        <x:v>Q1</x:v>
      </x:c>
      <x:c r="F79" t="str">
        <x:v>継続契約</x:v>
      </x:c>
      <x:c r="G79" t="str">
        <x:v>業務運用代行</x:v>
      </x:c>
      <x:c r="H79" s="16" t="n">
        <x:v>650000</x:v>
      </x:c>
      <x:c r="I79" s="16" t="n">
        <x:v>136000</x:v>
      </x:c>
      <x:c r="J79" s="16" t="n">
        <x:v>23000</x:v>
      </x:c>
      <x:c r="K79" s="16" t="n">
        <x:v>20000</x:v>
      </x:c>
      <x:c r="L79" s="14" t="n">
        <x:f>SUM(I79:K79)</x:f>
        <x:v>179000</x:v>
      </x:c>
      <x:c r="M79" s="14" t="n">
        <x:f>H79-L79</x:f>
        <x:v>471000</x:v>
      </x:c>
    </x:row>
    <x:row r="80">
      <x:c r="A80" t="str">
        <x:v>T0079</x:v>
      </x:c>
      <x:c r="B80" t="n">
        <x:v>2</x:v>
      </x:c>
      <x:c r="C80" t="str">
        <x:v>C028</x:v>
      </x:c>
      <x:c r="D80" t="str">
        <x:v>BPO</x:v>
      </x:c>
      <x:c r="E80" t="str">
        <x:v>Q1</x:v>
      </x:c>
      <x:c r="F80" t="str">
        <x:v>継続契約</x:v>
      </x:c>
      <x:c r="G80" t="str">
        <x:v>業務運用代行</x:v>
      </x:c>
      <x:c r="H80" s="16" t="n">
        <x:v>508000</x:v>
      </x:c>
      <x:c r="I80" s="16" t="n">
        <x:v>109000</x:v>
      </x:c>
      <x:c r="J80" s="16" t="n">
        <x:v>19000</x:v>
      </x:c>
      <x:c r="K80" s="16" t="n">
        <x:v>15000</x:v>
      </x:c>
      <x:c r="L80" s="14" t="n">
        <x:f>SUM(I80:K80)</x:f>
        <x:v>143000</x:v>
      </x:c>
      <x:c r="M80" s="14" t="n">
        <x:f>H80-L80</x:f>
        <x:v>365000</x:v>
      </x:c>
    </x:row>
    <x:row r="81">
      <x:c r="A81" t="str">
        <x:v>T0080</x:v>
      </x:c>
      <x:c r="B81" t="n">
        <x:v>2</x:v>
      </x:c>
      <x:c r="C81" t="str">
        <x:v>C029</x:v>
      </x:c>
      <x:c r="D81" t="str">
        <x:v>BPO</x:v>
      </x:c>
      <x:c r="E81" t="str">
        <x:v>Q1</x:v>
      </x:c>
      <x:c r="F81" t="str">
        <x:v>継続契約</x:v>
      </x:c>
      <x:c r="G81" t="str">
        <x:v>業務運用代行</x:v>
      </x:c>
      <x:c r="H81" s="16" t="n">
        <x:v>921000</x:v>
      </x:c>
      <x:c r="I81" s="16" t="n">
        <x:v>159000</x:v>
      </x:c>
      <x:c r="J81" s="16" t="n">
        <x:v>27000</x:v>
      </x:c>
      <x:c r="K81" s="16" t="n">
        <x:v>23000</x:v>
      </x:c>
      <x:c r="L81" s="14" t="n">
        <x:f>SUM(I81:K81)</x:f>
        <x:v>209000</x:v>
      </x:c>
      <x:c r="M81" s="14" t="n">
        <x:f>H81-L81</x:f>
        <x:v>712000</x:v>
      </x:c>
    </x:row>
    <x:row r="82">
      <x:c r="A82" t="str">
        <x:v>T0081</x:v>
      </x:c>
      <x:c r="B82" t="n">
        <x:v>2</x:v>
      </x:c>
      <x:c r="C82" t="str">
        <x:v>C030</x:v>
      </x:c>
      <x:c r="D82" t="str">
        <x:v>BPO</x:v>
      </x:c>
      <x:c r="E82" t="str">
        <x:v>Q1</x:v>
      </x:c>
      <x:c r="F82" t="str">
        <x:v>継続契約</x:v>
      </x:c>
      <x:c r="G82" t="str">
        <x:v>業務運用代行</x:v>
      </x:c>
      <x:c r="H82" s="16" t="n">
        <x:v>695000</x:v>
      </x:c>
      <x:c r="I82" s="16" t="n">
        <x:v>139000</x:v>
      </x:c>
      <x:c r="J82" s="16" t="n">
        <x:v>24000</x:v>
      </x:c>
      <x:c r="K82" s="16" t="n">
        <x:v>20000</x:v>
      </x:c>
      <x:c r="L82" s="14" t="n">
        <x:f>SUM(I82:K82)</x:f>
        <x:v>183000</x:v>
      </x:c>
      <x:c r="M82" s="14" t="n">
        <x:f>H82-L82</x:f>
        <x:v>512000</x:v>
      </x:c>
    </x:row>
    <x:row r="83">
      <x:c r="A83" t="str">
        <x:v>T0082</x:v>
      </x:c>
      <x:c r="B83" t="n">
        <x:v>2</x:v>
      </x:c>
      <x:c r="C83" t="str">
        <x:v>C030</x:v>
      </x:c>
      <x:c r="D83" t="str">
        <x:v>BPO</x:v>
      </x:c>
      <x:c r="E83" t="str">
        <x:v>Q1</x:v>
      </x:c>
      <x:c r="F83" t="str">
        <x:v>継続契約</x:v>
      </x:c>
      <x:c r="G83" t="str">
        <x:v>業務運用代行</x:v>
      </x:c>
      <x:c r="H83" s="16" t="n">
        <x:v>607000</x:v>
      </x:c>
      <x:c r="I83" s="16" t="n">
        <x:v>106000</x:v>
      </x:c>
      <x:c r="J83" s="16" t="n">
        <x:v>18000</x:v>
      </x:c>
      <x:c r="K83" s="16" t="n">
        <x:v>16000</x:v>
      </x:c>
      <x:c r="L83" s="14" t="n">
        <x:f>SUM(I83:K83)</x:f>
        <x:v>140000</x:v>
      </x:c>
      <x:c r="M83" s="14" t="n">
        <x:f>H83-L83</x:f>
        <x:v>467000</x:v>
      </x:c>
    </x:row>
    <x:row r="84">
      <x:c r="A84" t="str">
        <x:v>T0083</x:v>
      </x:c>
      <x:c r="B84" t="n">
        <x:v>2</x:v>
      </x:c>
      <x:c r="C84" t="str">
        <x:v>C031</x:v>
      </x:c>
      <x:c r="D84" t="str">
        <x:v>BPO</x:v>
      </x:c>
      <x:c r="E84" t="str">
        <x:v>Q1</x:v>
      </x:c>
      <x:c r="F84" t="str">
        <x:v>継続契約</x:v>
      </x:c>
      <x:c r="G84" t="str">
        <x:v>業務運用代行</x:v>
      </x:c>
      <x:c r="H84" s="16" t="n">
        <x:v>1063000</x:v>
      </x:c>
      <x:c r="I84" s="16" t="n">
        <x:v>223000</x:v>
      </x:c>
      <x:c r="J84" s="16" t="n">
        <x:v>38000</x:v>
      </x:c>
      <x:c r="K84" s="16" t="n">
        <x:v>33000</x:v>
      </x:c>
      <x:c r="L84" s="14" t="n">
        <x:f>SUM(I84:K84)</x:f>
        <x:v>294000</x:v>
      </x:c>
      <x:c r="M84" s="14" t="n">
        <x:f>H84-L84</x:f>
        <x:v>769000</x:v>
      </x:c>
    </x:row>
    <x:row r="85">
      <x:c r="A85" t="str">
        <x:v>T0084</x:v>
      </x:c>
      <x:c r="B85" t="n">
        <x:v>2</x:v>
      </x:c>
      <x:c r="C85" t="str">
        <x:v>C032</x:v>
      </x:c>
      <x:c r="D85" t="str">
        <x:v>BPO</x:v>
      </x:c>
      <x:c r="E85" t="str">
        <x:v>Q1</x:v>
      </x:c>
      <x:c r="F85" t="str">
        <x:v>継続契約</x:v>
      </x:c>
      <x:c r="G85" t="str">
        <x:v>業務運用代行</x:v>
      </x:c>
      <x:c r="H85" s="16" t="n">
        <x:v>910000</x:v>
      </x:c>
      <x:c r="I85" s="16" t="n">
        <x:v>178000</x:v>
      </x:c>
      <x:c r="J85" s="16" t="n">
        <x:v>30000</x:v>
      </x:c>
      <x:c r="K85" s="16" t="n">
        <x:v>26000</x:v>
      </x:c>
      <x:c r="L85" s="14" t="n">
        <x:f>SUM(I85:K85)</x:f>
        <x:v>234000</x:v>
      </x:c>
      <x:c r="M85" s="14" t="n">
        <x:f>H85-L85</x:f>
        <x:v>676000</x:v>
      </x:c>
    </x:row>
    <x:row r="86">
      <x:c r="A86" t="str">
        <x:v>T0085</x:v>
      </x:c>
      <x:c r="B86" t="n">
        <x:v>2</x:v>
      </x:c>
      <x:c r="C86" t="str">
        <x:v>C033</x:v>
      </x:c>
      <x:c r="D86" t="str">
        <x:v>BPO</x:v>
      </x:c>
      <x:c r="E86" t="str">
        <x:v>Q1</x:v>
      </x:c>
      <x:c r="F86" t="str">
        <x:v>継続契約</x:v>
      </x:c>
      <x:c r="G86" t="str">
        <x:v>業務運用代行</x:v>
      </x:c>
      <x:c r="H86" s="16" t="n">
        <x:v>989000</x:v>
      </x:c>
      <x:c r="I86" s="16" t="n">
        <x:v>162000</x:v>
      </x:c>
      <x:c r="J86" s="16" t="n">
        <x:v>28000</x:v>
      </x:c>
      <x:c r="K86" s="16" t="n">
        <x:v>23000</x:v>
      </x:c>
      <x:c r="L86" s="14" t="n">
        <x:f>SUM(I86:K86)</x:f>
        <x:v>213000</x:v>
      </x:c>
      <x:c r="M86" s="14" t="n">
        <x:f>H86-L86</x:f>
        <x:v>776000</x:v>
      </x:c>
    </x:row>
    <x:row r="87">
      <x:c r="A87" t="str">
        <x:v>T0086</x:v>
      </x:c>
      <x:c r="B87" t="n">
        <x:v>2</x:v>
      </x:c>
      <x:c r="C87" t="str">
        <x:v>C034</x:v>
      </x:c>
      <x:c r="D87" t="str">
        <x:v>TRN</x:v>
      </x:c>
      <x:c r="E87" t="str">
        <x:v>Q1</x:v>
      </x:c>
      <x:c r="F87" t="str">
        <x:v>継続契約</x:v>
      </x:c>
      <x:c r="G87" t="str">
        <x:v>研修プログラム</x:v>
      </x:c>
      <x:c r="H87" s="16" t="n">
        <x:v>1696000</x:v>
      </x:c>
      <x:c r="I87" s="16" t="n">
        <x:v>113000</x:v>
      </x:c>
      <x:c r="J87" s="16" t="n">
        <x:v>57000</x:v>
      </x:c>
      <x:c r="K87" s="16" t="n">
        <x:v>145000</x:v>
      </x:c>
      <x:c r="L87" s="14" t="n">
        <x:f>SUM(I87:K87)</x:f>
        <x:v>315000</x:v>
      </x:c>
      <x:c r="M87" s="14" t="n">
        <x:f>H87-L87</x:f>
        <x:v>1381000</x:v>
      </x:c>
    </x:row>
    <x:row r="88">
      <x:c r="A88" t="str">
        <x:v>T0087</x:v>
      </x:c>
      <x:c r="B88" t="n">
        <x:v>2</x:v>
      </x:c>
      <x:c r="C88" t="str">
        <x:v>C035</x:v>
      </x:c>
      <x:c r="D88" t="str">
        <x:v>TRN</x:v>
      </x:c>
      <x:c r="E88" t="str">
        <x:v>Q1</x:v>
      </x:c>
      <x:c r="F88" t="str">
        <x:v>スポット中心</x:v>
      </x:c>
      <x:c r="G88" t="str">
        <x:v>研修プログラム</x:v>
      </x:c>
      <x:c r="H88" s="16" t="n">
        <x:v>940000</x:v>
      </x:c>
      <x:c r="I88" s="16" t="n">
        <x:v>55000</x:v>
      </x:c>
      <x:c r="J88" s="16" t="n">
        <x:v>27000</x:v>
      </x:c>
      <x:c r="K88" s="16" t="n">
        <x:v>70000</x:v>
      </x:c>
      <x:c r="L88" s="14" t="n">
        <x:f>SUM(I88:K88)</x:f>
        <x:v>152000</x:v>
      </x:c>
      <x:c r="M88" s="14" t="n">
        <x:f>H88-L88</x:f>
        <x:v>788000</x:v>
      </x:c>
    </x:row>
    <x:row r="89">
      <x:c r="A89" t="str">
        <x:v>T0088</x:v>
      </x:c>
      <x:c r="B89" t="n">
        <x:v>2</x:v>
      </x:c>
      <x:c r="C89" t="str">
        <x:v>C036</x:v>
      </x:c>
      <x:c r="D89" t="str">
        <x:v>TRN</x:v>
      </x:c>
      <x:c r="E89" t="str">
        <x:v>Q1</x:v>
      </x:c>
      <x:c r="F89" t="str">
        <x:v>継続契約</x:v>
      </x:c>
      <x:c r="G89" t="str">
        <x:v>研修プログラム</x:v>
      </x:c>
      <x:c r="H89" s="16" t="n">
        <x:v>387000</x:v>
      </x:c>
      <x:c r="I89" s="16" t="n">
        <x:v>15000</x:v>
      </x:c>
      <x:c r="J89" s="16" t="n">
        <x:v>8000</x:v>
      </x:c>
      <x:c r="K89" s="16" t="n">
        <x:v>20000</x:v>
      </x:c>
      <x:c r="L89" s="14" t="n">
        <x:f>SUM(I89:K89)</x:f>
        <x:v>43000</x:v>
      </x:c>
      <x:c r="M89" s="14" t="n">
        <x:f>H89-L89</x:f>
        <x:v>344000</x:v>
      </x:c>
    </x:row>
    <x:row r="90">
      <x:c r="A90" t="str">
        <x:v>T0089</x:v>
      </x:c>
      <x:c r="B90" t="n">
        <x:v>2</x:v>
      </x:c>
      <x:c r="C90" t="str">
        <x:v>C036</x:v>
      </x:c>
      <x:c r="D90" t="str">
        <x:v>TRN</x:v>
      </x:c>
      <x:c r="E90" t="str">
        <x:v>Q1</x:v>
      </x:c>
      <x:c r="F90" t="str">
        <x:v>継続契約</x:v>
      </x:c>
      <x:c r="G90" t="str">
        <x:v>研修プログラム</x:v>
      </x:c>
      <x:c r="H90" s="16" t="n">
        <x:v>397000</x:v>
      </x:c>
      <x:c r="I90" s="16" t="n">
        <x:v>31000</x:v>
      </x:c>
      <x:c r="J90" s="16" t="n">
        <x:v>15000</x:v>
      </x:c>
      <x:c r="K90" s="16" t="n">
        <x:v>39000</x:v>
      </x:c>
      <x:c r="L90" s="14" t="n">
        <x:f>SUM(I90:K90)</x:f>
        <x:v>85000</x:v>
      </x:c>
      <x:c r="M90" s="14" t="n">
        <x:f>H90-L90</x:f>
        <x:v>312000</x:v>
      </x:c>
    </x:row>
    <x:row r="91">
      <x:c r="A91" t="str">
        <x:v>T0090</x:v>
      </x:c>
      <x:c r="B91" t="n">
        <x:v>2</x:v>
      </x:c>
      <x:c r="C91" t="str">
        <x:v>C037</x:v>
      </x:c>
      <x:c r="D91" t="str">
        <x:v>TRN</x:v>
      </x:c>
      <x:c r="E91" t="str">
        <x:v>Q1</x:v>
      </x:c>
      <x:c r="F91" t="str">
        <x:v>継続契約</x:v>
      </x:c>
      <x:c r="G91" t="str">
        <x:v>研修プログラム</x:v>
      </x:c>
      <x:c r="H91" s="16" t="n">
        <x:v>480000</x:v>
      </x:c>
      <x:c r="I91" s="16" t="n">
        <x:v>33000</x:v>
      </x:c>
      <x:c r="J91" s="16" t="n">
        <x:v>17000</x:v>
      </x:c>
      <x:c r="K91" s="16" t="n">
        <x:v>42000</x:v>
      </x:c>
      <x:c r="L91" s="14" t="n">
        <x:f>SUM(I91:K91)</x:f>
        <x:v>92000</x:v>
      </x:c>
      <x:c r="M91" s="14" t="n">
        <x:f>H91-L91</x:f>
        <x:v>388000</x:v>
      </x:c>
    </x:row>
    <x:row r="92">
      <x:c r="A92" t="str">
        <x:v>T0091</x:v>
      </x:c>
      <x:c r="B92" t="n">
        <x:v>2</x:v>
      </x:c>
      <x:c r="C92" t="str">
        <x:v>C037</x:v>
      </x:c>
      <x:c r="D92" t="str">
        <x:v>TRN</x:v>
      </x:c>
      <x:c r="E92" t="str">
        <x:v>Q1</x:v>
      </x:c>
      <x:c r="F92" t="str">
        <x:v>継続契約</x:v>
      </x:c>
      <x:c r="G92" t="str">
        <x:v>研修プログラム</x:v>
      </x:c>
      <x:c r="H92" s="16" t="n">
        <x:v>317000</x:v>
      </x:c>
      <x:c r="I92" s="16" t="n">
        <x:v>19000</x:v>
      </x:c>
      <x:c r="J92" s="16" t="n">
        <x:v>9000</x:v>
      </x:c>
      <x:c r="K92" s="16" t="n">
        <x:v>24000</x:v>
      </x:c>
      <x:c r="L92" s="14" t="n">
        <x:f>SUM(I92:K92)</x:f>
        <x:v>52000</x:v>
      </x:c>
      <x:c r="M92" s="14" t="n">
        <x:f>H92-L92</x:f>
        <x:v>265000</x:v>
      </x:c>
    </x:row>
    <x:row r="93">
      <x:c r="A93" t="str">
        <x:v>T0092</x:v>
      </x:c>
      <x:c r="B93" t="n">
        <x:v>2</x:v>
      </x:c>
      <x:c r="C93" t="str">
        <x:v>C038</x:v>
      </x:c>
      <x:c r="D93" t="str">
        <x:v>TRN</x:v>
      </x:c>
      <x:c r="E93" t="str">
        <x:v>Q1</x:v>
      </x:c>
      <x:c r="F93" t="str">
        <x:v>継続契約</x:v>
      </x:c>
      <x:c r="G93" t="str">
        <x:v>研修プログラム</x:v>
      </x:c>
      <x:c r="H93" s="16" t="n">
        <x:v>399000</x:v>
      </x:c>
      <x:c r="I93" s="16" t="n">
        <x:v>18000</x:v>
      </x:c>
      <x:c r="J93" s="16" t="n">
        <x:v>9000</x:v>
      </x:c>
      <x:c r="K93" s="16" t="n">
        <x:v>22000</x:v>
      </x:c>
      <x:c r="L93" s="14" t="n">
        <x:f>SUM(I93:K93)</x:f>
        <x:v>49000</x:v>
      </x:c>
      <x:c r="M93" s="14" t="n">
        <x:f>H93-L93</x:f>
        <x:v>350000</x:v>
      </x:c>
    </x:row>
    <x:row r="94">
      <x:c r="A94" t="str">
        <x:v>T0093</x:v>
      </x:c>
      <x:c r="B94" t="n">
        <x:v>2</x:v>
      </x:c>
      <x:c r="C94" t="str">
        <x:v>C038</x:v>
      </x:c>
      <x:c r="D94" t="str">
        <x:v>TRN</x:v>
      </x:c>
      <x:c r="E94" t="str">
        <x:v>Q1</x:v>
      </x:c>
      <x:c r="F94" t="str">
        <x:v>継続契約</x:v>
      </x:c>
      <x:c r="G94" t="str">
        <x:v>研修プログラム</x:v>
      </x:c>
      <x:c r="H94" s="16" t="n">
        <x:v>237000</x:v>
      </x:c>
      <x:c r="I94" s="16" t="n">
        <x:v>12000</x:v>
      </x:c>
      <x:c r="J94" s="16" t="n">
        <x:v>6000</x:v>
      </x:c>
      <x:c r="K94" s="16" t="n">
        <x:v>16000</x:v>
      </x:c>
      <x:c r="L94" s="14" t="n">
        <x:f>SUM(I94:K94)</x:f>
        <x:v>34000</x:v>
      </x:c>
      <x:c r="M94" s="14" t="n">
        <x:f>H94-L94</x:f>
        <x:v>203000</x:v>
      </x:c>
    </x:row>
    <x:row r="95">
      <x:c r="A95" t="str">
        <x:v>T0094</x:v>
      </x:c>
      <x:c r="B95" t="n">
        <x:v>2</x:v>
      </x:c>
      <x:c r="C95" t="str">
        <x:v>C039</x:v>
      </x:c>
      <x:c r="D95" t="str">
        <x:v>TRN</x:v>
      </x:c>
      <x:c r="E95" t="str">
        <x:v>Q1</x:v>
      </x:c>
      <x:c r="F95" t="str">
        <x:v>継続契約</x:v>
      </x:c>
      <x:c r="G95" t="str">
        <x:v>研修プログラム</x:v>
      </x:c>
      <x:c r="H95" s="16" t="n">
        <x:v>268000</x:v>
      </x:c>
      <x:c r="I95" s="16" t="n">
        <x:v>21000</x:v>
      </x:c>
      <x:c r="J95" s="16" t="n">
        <x:v>10000</x:v>
      </x:c>
      <x:c r="K95" s="16" t="n">
        <x:v>26000</x:v>
      </x:c>
      <x:c r="L95" s="14" t="n">
        <x:f>SUM(I95:K95)</x:f>
        <x:v>57000</x:v>
      </x:c>
      <x:c r="M95" s="14" t="n">
        <x:f>H95-L95</x:f>
        <x:v>211000</x:v>
      </x:c>
    </x:row>
    <x:row r="96">
      <x:c r="A96" t="str">
        <x:v>T0095</x:v>
      </x:c>
      <x:c r="B96" t="n">
        <x:v>2</x:v>
      </x:c>
      <x:c r="C96" t="str">
        <x:v>C039</x:v>
      </x:c>
      <x:c r="D96" t="str">
        <x:v>TRN</x:v>
      </x:c>
      <x:c r="E96" t="str">
        <x:v>Q1</x:v>
      </x:c>
      <x:c r="F96" t="str">
        <x:v>継続契約</x:v>
      </x:c>
      <x:c r="G96" t="str">
        <x:v>研修プログラム</x:v>
      </x:c>
      <x:c r="H96" s="16" t="n">
        <x:v>226000</x:v>
      </x:c>
      <x:c r="I96" s="16" t="n">
        <x:v>13000</x:v>
      </x:c>
      <x:c r="J96" s="16" t="n">
        <x:v>6000</x:v>
      </x:c>
      <x:c r="K96" s="16" t="n">
        <x:v>17000</x:v>
      </x:c>
      <x:c r="L96" s="14" t="n">
        <x:f>SUM(I96:K96)</x:f>
        <x:v>36000</x:v>
      </x:c>
      <x:c r="M96" s="14" t="n">
        <x:f>H96-L96</x:f>
        <x:v>190000</x:v>
      </x:c>
    </x:row>
    <x:row r="97">
      <x:c r="A97" t="str">
        <x:v>T0096</x:v>
      </x:c>
      <x:c r="B97" t="n">
        <x:v>2</x:v>
      </x:c>
      <x:c r="C97" t="str">
        <x:v>C040</x:v>
      </x:c>
      <x:c r="D97" t="str">
        <x:v>TRN</x:v>
      </x:c>
      <x:c r="E97" t="str">
        <x:v>Q1</x:v>
      </x:c>
      <x:c r="F97" t="str">
        <x:v>スポット中心</x:v>
      </x:c>
      <x:c r="G97" t="str">
        <x:v>研修プログラム</x:v>
      </x:c>
      <x:c r="H97" s="16" t="n">
        <x:v>356000</x:v>
      </x:c>
      <x:c r="I97" s="16" t="n">
        <x:v>25000</x:v>
      </x:c>
      <x:c r="J97" s="16" t="n">
        <x:v>12000</x:v>
      </x:c>
      <x:c r="K97" s="16" t="n">
        <x:v>32000</x:v>
      </x:c>
      <x:c r="L97" s="14" t="n">
        <x:f>SUM(I97:K97)</x:f>
        <x:v>69000</x:v>
      </x:c>
      <x:c r="M97" s="14" t="n">
        <x:f>H97-L97</x:f>
        <x:v>287000</x:v>
      </x:c>
    </x:row>
    <x:row r="98">
      <x:c r="A98" t="str">
        <x:v>T0097</x:v>
      </x:c>
      <x:c r="B98" t="n">
        <x:v>2</x:v>
      </x:c>
      <x:c r="C98" t="str">
        <x:v>C040</x:v>
      </x:c>
      <x:c r="D98" t="str">
        <x:v>TRN</x:v>
      </x:c>
      <x:c r="E98" t="str">
        <x:v>Q1</x:v>
      </x:c>
      <x:c r="F98" t="str">
        <x:v>スポット中心</x:v>
      </x:c>
      <x:c r="G98" t="str">
        <x:v>研修プログラム</x:v>
      </x:c>
      <x:c r="H98" s="16" t="n">
        <x:v>337000</x:v>
      </x:c>
      <x:c r="I98" s="16" t="n">
        <x:v>21000</x:v>
      </x:c>
      <x:c r="J98" s="16" t="n">
        <x:v>10000</x:v>
      </x:c>
      <x:c r="K98" s="16" t="n">
        <x:v>27000</x:v>
      </x:c>
      <x:c r="L98" s="14" t="n">
        <x:f>SUM(I98:K98)</x:f>
        <x:v>58000</x:v>
      </x:c>
      <x:c r="M98" s="14" t="n">
        <x:f>H98-L98</x:f>
        <x:v>279000</x:v>
      </x:c>
    </x:row>
    <x:row r="99">
      <x:c r="A99" t="str">
        <x:v>T0098</x:v>
      </x:c>
      <x:c r="B99" t="n">
        <x:v>2</x:v>
      </x:c>
      <x:c r="C99" t="str">
        <x:v>C041</x:v>
      </x:c>
      <x:c r="D99" t="str">
        <x:v>TRN</x:v>
      </x:c>
      <x:c r="E99" t="str">
        <x:v>Q1</x:v>
      </x:c>
      <x:c r="F99" t="str">
        <x:v>継続契約</x:v>
      </x:c>
      <x:c r="G99" t="str">
        <x:v>研修プログラム</x:v>
      </x:c>
      <x:c r="H99" s="16" t="n">
        <x:v>219000</x:v>
      </x:c>
      <x:c r="I99" s="16" t="n">
        <x:v>16000</x:v>
      </x:c>
      <x:c r="J99" s="16" t="n">
        <x:v>8000</x:v>
      </x:c>
      <x:c r="K99" s="16" t="n">
        <x:v>21000</x:v>
      </x:c>
      <x:c r="L99" s="14" t="n">
        <x:f>SUM(I99:K99)</x:f>
        <x:v>45000</x:v>
      </x:c>
      <x:c r="M99" s="14" t="n">
        <x:f>H99-L99</x:f>
        <x:v>174000</x:v>
      </x:c>
    </x:row>
    <x:row r="100">
      <x:c r="A100" t="str">
        <x:v>T0099</x:v>
      </x:c>
      <x:c r="B100" t="n">
        <x:v>2</x:v>
      </x:c>
      <x:c r="C100" t="str">
        <x:v>C041</x:v>
      </x:c>
      <x:c r="D100" t="str">
        <x:v>TRN</x:v>
      </x:c>
      <x:c r="E100" t="str">
        <x:v>Q1</x:v>
      </x:c>
      <x:c r="F100" t="str">
        <x:v>継続契約</x:v>
      </x:c>
      <x:c r="G100" t="str">
        <x:v>研修プログラム</x:v>
      </x:c>
      <x:c r="H100" s="16" t="n">
        <x:v>275000</x:v>
      </x:c>
      <x:c r="I100" s="16" t="n">
        <x:v>10000</x:v>
      </x:c>
      <x:c r="J100" s="16" t="n">
        <x:v>5000</x:v>
      </x:c>
      <x:c r="K100" s="16" t="n">
        <x:v>13000</x:v>
      </x:c>
      <x:c r="L100" s="14" t="n">
        <x:f>SUM(I100:K100)</x:f>
        <x:v>28000</x:v>
      </x:c>
      <x:c r="M100" s="14" t="n">
        <x:f>H100-L100</x:f>
        <x:v>247000</x:v>
      </x:c>
    </x:row>
    <x:row r="101">
      <x:c r="A101" t="str">
        <x:v>T0100</x:v>
      </x:c>
      <x:c r="B101" t="n">
        <x:v>2</x:v>
      </x:c>
      <x:c r="C101" t="str">
        <x:v>C042</x:v>
      </x:c>
      <x:c r="D101" t="str">
        <x:v>TRN</x:v>
      </x:c>
      <x:c r="E101" t="str">
        <x:v>Q1</x:v>
      </x:c>
      <x:c r="F101" t="str">
        <x:v>継続契約</x:v>
      </x:c>
      <x:c r="G101" t="str">
        <x:v>研修プログラム</x:v>
      </x:c>
      <x:c r="H101" s="16" t="n">
        <x:v>490000</x:v>
      </x:c>
      <x:c r="I101" s="16" t="n">
        <x:v>19000</x:v>
      </x:c>
      <x:c r="J101" s="16" t="n">
        <x:v>10000</x:v>
      </x:c>
      <x:c r="K101" s="16" t="n">
        <x:v>25000</x:v>
      </x:c>
      <x:c r="L101" s="14" t="n">
        <x:f>SUM(I101:K101)</x:f>
        <x:v>54000</x:v>
      </x:c>
      <x:c r="M101" s="14" t="n">
        <x:f>H101-L101</x:f>
        <x:v>436000</x:v>
      </x:c>
    </x:row>
    <x:row r="102">
      <x:c r="A102" t="str">
        <x:v>T0101</x:v>
      </x:c>
      <x:c r="B102" t="n">
        <x:v>2</x:v>
      </x:c>
      <x:c r="C102" t="str">
        <x:v>C042</x:v>
      </x:c>
      <x:c r="D102" t="str">
        <x:v>TRN</x:v>
      </x:c>
      <x:c r="E102" t="str">
        <x:v>Q1</x:v>
      </x:c>
      <x:c r="F102" t="str">
        <x:v>継続契約</x:v>
      </x:c>
      <x:c r="G102" t="str">
        <x:v>研修プログラム</x:v>
      </x:c>
      <x:c r="H102" s="16" t="n">
        <x:v>393000</x:v>
      </x:c>
      <x:c r="I102" s="16" t="n">
        <x:v>29000</x:v>
      </x:c>
      <x:c r="J102" s="16" t="n">
        <x:v>14000</x:v>
      </x:c>
      <x:c r="K102" s="16" t="n">
        <x:v>37000</x:v>
      </x:c>
      <x:c r="L102" s="14" t="n">
        <x:f>SUM(I102:K102)</x:f>
        <x:v>80000</x:v>
      </x:c>
      <x:c r="M102" s="14" t="n">
        <x:f>H102-L102</x:f>
        <x:v>313000</x:v>
      </x:c>
    </x:row>
    <x:row r="103">
      <x:c r="A103" t="str">
        <x:v>T0102</x:v>
      </x:c>
      <x:c r="B103" t="n">
        <x:v>2</x:v>
      </x:c>
      <x:c r="C103" t="str">
        <x:v>C043</x:v>
      </x:c>
      <x:c r="D103" t="str">
        <x:v>TRN</x:v>
      </x:c>
      <x:c r="E103" t="str">
        <x:v>Q1</x:v>
      </x:c>
      <x:c r="F103" t="str">
        <x:v>継続契約</x:v>
      </x:c>
      <x:c r="G103" t="str">
        <x:v>研修プログラム</x:v>
      </x:c>
      <x:c r="H103" s="16" t="n">
        <x:v>1056000</x:v>
      </x:c>
      <x:c r="I103" s="16" t="n">
        <x:v>63000</x:v>
      </x:c>
      <x:c r="J103" s="16" t="n">
        <x:v>32000</x:v>
      </x:c>
      <x:c r="K103" s="16" t="n">
        <x:v>81000</x:v>
      </x:c>
      <x:c r="L103" s="14" t="n">
        <x:f>SUM(I103:K103)</x:f>
        <x:v>176000</x:v>
      </x:c>
      <x:c r="M103" s="14" t="n">
        <x:f>H103-L103</x:f>
        <x:v>880000</x:v>
      </x:c>
    </x:row>
    <x:row r="104">
      <x:c r="A104" t="str">
        <x:v>T0103</x:v>
      </x:c>
      <x:c r="B104" t="n">
        <x:v>3</x:v>
      </x:c>
      <x:c r="C104" t="str">
        <x:v>C001</x:v>
      </x:c>
      <x:c r="D104" t="str">
        <x:v>IT</x:v>
      </x:c>
      <x:c r="E104" t="str">
        <x:v>Q1</x:v>
      </x:c>
      <x:c r="F104" t="str">
        <x:v>継続契約</x:v>
      </x:c>
      <x:c r="G104" t="str">
        <x:v>導入・運用支援</x:v>
      </x:c>
      <x:c r="H104" s="16" t="n">
        <x:v>2584000</x:v>
      </x:c>
      <x:c r="I104" s="16" t="n">
        <x:v>560000</x:v>
      </x:c>
      <x:c r="J104" s="16" t="n">
        <x:v>357000</x:v>
      </x:c>
      <x:c r="K104" s="16" t="n">
        <x:v>102000</x:v>
      </x:c>
      <x:c r="L104" s="14" t="n">
        <x:f>SUM(I104:K104)</x:f>
        <x:v>1019000</x:v>
      </x:c>
      <x:c r="M104" s="14" t="n">
        <x:f>H104-L104</x:f>
        <x:v>1565000</x:v>
      </x:c>
    </x:row>
    <x:row r="105">
      <x:c r="A105" t="str">
        <x:v>T0104</x:v>
      </x:c>
      <x:c r="B105" t="n">
        <x:v>3</x:v>
      </x:c>
      <x:c r="C105" t="str">
        <x:v>C001</x:v>
      </x:c>
      <x:c r="D105" t="str">
        <x:v>IT</x:v>
      </x:c>
      <x:c r="E105" t="str">
        <x:v>Q1</x:v>
      </x:c>
      <x:c r="F105" t="str">
        <x:v>継続契約</x:v>
      </x:c>
      <x:c r="G105" t="str">
        <x:v>導入・運用支援</x:v>
      </x:c>
      <x:c r="H105" s="16" t="n">
        <x:v>2556000</x:v>
      </x:c>
      <x:c r="I105" s="16" t="n">
        <x:v>510000</x:v>
      </x:c>
      <x:c r="J105" s="16" t="n">
        <x:v>325000</x:v>
      </x:c>
      <x:c r="K105" s="16" t="n">
        <x:v>93000</x:v>
      </x:c>
      <x:c r="L105" s="14" t="n">
        <x:f>SUM(I105:K105)</x:f>
        <x:v>928000</x:v>
      </x:c>
      <x:c r="M105" s="14" t="n">
        <x:f>H105-L105</x:f>
        <x:v>1628000</x:v>
      </x:c>
    </x:row>
    <x:row r="106">
      <x:c r="A106" t="str">
        <x:v>T0105</x:v>
      </x:c>
      <x:c r="B106" t="n">
        <x:v>3</x:v>
      </x:c>
      <x:c r="C106" t="str">
        <x:v>C002</x:v>
      </x:c>
      <x:c r="D106" t="str">
        <x:v>IT</x:v>
      </x:c>
      <x:c r="E106" t="str">
        <x:v>Q1</x:v>
      </x:c>
      <x:c r="F106" t="str">
        <x:v>継続契約</x:v>
      </x:c>
      <x:c r="G106" t="str">
        <x:v>導入・運用支援</x:v>
      </x:c>
      <x:c r="H106" s="16" t="n">
        <x:v>1560000</x:v>
      </x:c>
      <x:c r="I106" s="16" t="n">
        <x:v>254000</x:v>
      </x:c>
      <x:c r="J106" s="16" t="n">
        <x:v>161000</x:v>
      </x:c>
      <x:c r="K106" s="16" t="n">
        <x:v>46000</x:v>
      </x:c>
      <x:c r="L106" s="14" t="n">
        <x:f>SUM(I106:K106)</x:f>
        <x:v>461000</x:v>
      </x:c>
      <x:c r="M106" s="14" t="n">
        <x:f>H106-L106</x:f>
        <x:v>1099000</x:v>
      </x:c>
    </x:row>
    <x:row r="107">
      <x:c r="A107" t="str">
        <x:v>T0106</x:v>
      </x:c>
      <x:c r="B107" t="n">
        <x:v>3</x:v>
      </x:c>
      <x:c r="C107" t="str">
        <x:v>C002</x:v>
      </x:c>
      <x:c r="D107" t="str">
        <x:v>IT</x:v>
      </x:c>
      <x:c r="E107" t="str">
        <x:v>Q1</x:v>
      </x:c>
      <x:c r="F107" t="str">
        <x:v>継続契約</x:v>
      </x:c>
      <x:c r="G107" t="str">
        <x:v>導入・運用支援</x:v>
      </x:c>
      <x:c r="H107" s="16" t="n">
        <x:v>2057000</x:v>
      </x:c>
      <x:c r="I107" s="16" t="n">
        <x:v>376000</x:v>
      </x:c>
      <x:c r="J107" s="16" t="n">
        <x:v>239000</x:v>
      </x:c>
      <x:c r="K107" s="16" t="n">
        <x:v>69000</x:v>
      </x:c>
      <x:c r="L107" s="14" t="n">
        <x:f>SUM(I107:K107)</x:f>
        <x:v>684000</x:v>
      </x:c>
      <x:c r="M107" s="14" t="n">
        <x:f>H107-L107</x:f>
        <x:v>1373000</x:v>
      </x:c>
    </x:row>
    <x:row r="108">
      <x:c r="A108" t="str">
        <x:v>T0107</x:v>
      </x:c>
      <x:c r="B108" t="n">
        <x:v>3</x:v>
      </x:c>
      <x:c r="C108" t="str">
        <x:v>C003</x:v>
      </x:c>
      <x:c r="D108" t="str">
        <x:v>IT</x:v>
      </x:c>
      <x:c r="E108" t="str">
        <x:v>Q1</x:v>
      </x:c>
      <x:c r="F108" t="str">
        <x:v>継続契約</x:v>
      </x:c>
      <x:c r="G108" t="str">
        <x:v>導入・運用支援</x:v>
      </x:c>
      <x:c r="H108" s="16" t="n">
        <x:v>1722000</x:v>
      </x:c>
      <x:c r="I108" s="16" t="n">
        <x:v>300000</x:v>
      </x:c>
      <x:c r="J108" s="16" t="n">
        <x:v>191000</x:v>
      </x:c>
      <x:c r="K108" s="16" t="n">
        <x:v>54000</x:v>
      </x:c>
      <x:c r="L108" s="14" t="n">
        <x:f>SUM(I108:K108)</x:f>
        <x:v>545000</x:v>
      </x:c>
      <x:c r="M108" s="14" t="n">
        <x:f>H108-L108</x:f>
        <x:v>1177000</x:v>
      </x:c>
    </x:row>
    <x:row r="109">
      <x:c r="A109" t="str">
        <x:v>T0108</x:v>
      </x:c>
      <x:c r="B109" t="n">
        <x:v>3</x:v>
      </x:c>
      <x:c r="C109" t="str">
        <x:v>C003</x:v>
      </x:c>
      <x:c r="D109" t="str">
        <x:v>IT</x:v>
      </x:c>
      <x:c r="E109" t="str">
        <x:v>Q1</x:v>
      </x:c>
      <x:c r="F109" t="str">
        <x:v>継続契約</x:v>
      </x:c>
      <x:c r="G109" t="str">
        <x:v>導入・運用支援</x:v>
      </x:c>
      <x:c r="H109" s="16" t="n">
        <x:v>1536000</x:v>
      </x:c>
      <x:c r="I109" s="16" t="n">
        <x:v>266000</x:v>
      </x:c>
      <x:c r="J109" s="16" t="n">
        <x:v>169000</x:v>
      </x:c>
      <x:c r="K109" s="16" t="n">
        <x:v>49000</x:v>
      </x:c>
      <x:c r="L109" s="14" t="n">
        <x:f>SUM(I109:K109)</x:f>
        <x:v>484000</x:v>
      </x:c>
      <x:c r="M109" s="14" t="n">
        <x:f>H109-L109</x:f>
        <x:v>1052000</x:v>
      </x:c>
    </x:row>
    <x:row r="110">
      <x:c r="A110" t="str">
        <x:v>T0109</x:v>
      </x:c>
      <x:c r="B110" t="n">
        <x:v>3</x:v>
      </x:c>
      <x:c r="C110" t="str">
        <x:v>C004</x:v>
      </x:c>
      <x:c r="D110" t="str">
        <x:v>IT</x:v>
      </x:c>
      <x:c r="E110" t="str">
        <x:v>Q1</x:v>
      </x:c>
      <x:c r="F110" t="str">
        <x:v>継続契約</x:v>
      </x:c>
      <x:c r="G110" t="str">
        <x:v>導入・運用支援</x:v>
      </x:c>
      <x:c r="H110" s="16" t="n">
        <x:v>580000</x:v>
      </x:c>
      <x:c r="I110" s="16" t="n">
        <x:v>108000</x:v>
      </x:c>
      <x:c r="J110" s="16" t="n">
        <x:v>69000</x:v>
      </x:c>
      <x:c r="K110" s="16" t="n">
        <x:v>20000</x:v>
      </x:c>
      <x:c r="L110" s="14" t="n">
        <x:f>SUM(I110:K110)</x:f>
        <x:v>197000</x:v>
      </x:c>
      <x:c r="M110" s="14" t="n">
        <x:f>H110-L110</x:f>
        <x:v>383000</x:v>
      </x:c>
    </x:row>
    <x:row r="111">
      <x:c r="A111" t="str">
        <x:v>T0110</x:v>
      </x:c>
      <x:c r="B111" t="n">
        <x:v>3</x:v>
      </x:c>
      <x:c r="C111" t="str">
        <x:v>C004</x:v>
      </x:c>
      <x:c r="D111" t="str">
        <x:v>IT</x:v>
      </x:c>
      <x:c r="E111" t="str">
        <x:v>Q1</x:v>
      </x:c>
      <x:c r="F111" t="str">
        <x:v>継続契約</x:v>
      </x:c>
      <x:c r="G111" t="str">
        <x:v>導入・運用支援</x:v>
      </x:c>
      <x:c r="H111" s="16" t="n">
        <x:v>817000</x:v>
      </x:c>
      <x:c r="I111" s="16" t="n">
        <x:v>137000</x:v>
      </x:c>
      <x:c r="J111" s="16" t="n">
        <x:v>87000</x:v>
      </x:c>
      <x:c r="K111" s="16" t="n">
        <x:v>25000</x:v>
      </x:c>
      <x:c r="L111" s="14" t="n">
        <x:f>SUM(I111:K111)</x:f>
        <x:v>249000</x:v>
      </x:c>
      <x:c r="M111" s="14" t="n">
        <x:f>H111-L111</x:f>
        <x:v>568000</x:v>
      </x:c>
    </x:row>
    <x:row r="112">
      <x:c r="A112" t="str">
        <x:v>T0111</x:v>
      </x:c>
      <x:c r="B112" t="n">
        <x:v>3</x:v>
      </x:c>
      <x:c r="C112" t="str">
        <x:v>C006</x:v>
      </x:c>
      <x:c r="D112" t="str">
        <x:v>IT</x:v>
      </x:c>
      <x:c r="E112" t="str">
        <x:v>Q1</x:v>
      </x:c>
      <x:c r="F112" t="str">
        <x:v>継続契約</x:v>
      </x:c>
      <x:c r="G112" t="str">
        <x:v>導入・運用支援</x:v>
      </x:c>
      <x:c r="H112" s="16" t="n">
        <x:v>524000</x:v>
      </x:c>
      <x:c r="I112" s="16" t="n">
        <x:v>118000</x:v>
      </x:c>
      <x:c r="J112" s="16" t="n">
        <x:v>75000</x:v>
      </x:c>
      <x:c r="K112" s="16" t="n">
        <x:v>21000</x:v>
      </x:c>
      <x:c r="L112" s="14" t="n">
        <x:f>SUM(I112:K112)</x:f>
        <x:v>214000</x:v>
      </x:c>
      <x:c r="M112" s="14" t="n">
        <x:f>H112-L112</x:f>
        <x:v>310000</x:v>
      </x:c>
    </x:row>
    <x:row r="113">
      <x:c r="A113" t="str">
        <x:v>T0112</x:v>
      </x:c>
      <x:c r="B113" t="n">
        <x:v>3</x:v>
      </x:c>
      <x:c r="C113" t="str">
        <x:v>C006</x:v>
      </x:c>
      <x:c r="D113" t="str">
        <x:v>IT</x:v>
      </x:c>
      <x:c r="E113" t="str">
        <x:v>Q1</x:v>
      </x:c>
      <x:c r="F113" t="str">
        <x:v>継続契約</x:v>
      </x:c>
      <x:c r="G113" t="str">
        <x:v>導入・運用支援</x:v>
      </x:c>
      <x:c r="H113" s="16" t="n">
        <x:v>432000</x:v>
      </x:c>
      <x:c r="I113" s="16" t="n">
        <x:v>88000</x:v>
      </x:c>
      <x:c r="J113" s="16" t="n">
        <x:v>56000</x:v>
      </x:c>
      <x:c r="K113" s="16" t="n">
        <x:v>16000</x:v>
      </x:c>
      <x:c r="L113" s="14" t="n">
        <x:f>SUM(I113:K113)</x:f>
        <x:v>160000</x:v>
      </x:c>
      <x:c r="M113" s="14" t="n">
        <x:f>H113-L113</x:f>
        <x:v>272000</x:v>
      </x:c>
    </x:row>
    <x:row r="114">
      <x:c r="A114" t="str">
        <x:v>T0113</x:v>
      </x:c>
      <x:c r="B114" t="n">
        <x:v>3</x:v>
      </x:c>
      <x:c r="C114" t="str">
        <x:v>C007</x:v>
      </x:c>
      <x:c r="D114" t="str">
        <x:v>IT</x:v>
      </x:c>
      <x:c r="E114" t="str">
        <x:v>Q1</x:v>
      </x:c>
      <x:c r="F114" t="str">
        <x:v>継続契約</x:v>
      </x:c>
      <x:c r="G114" t="str">
        <x:v>導入・運用支援</x:v>
      </x:c>
      <x:c r="H114" s="16" t="n">
        <x:v>418000</x:v>
      </x:c>
      <x:c r="I114" s="16" t="n">
        <x:v>82000</x:v>
      </x:c>
      <x:c r="J114" s="16" t="n">
        <x:v>52000</x:v>
      </x:c>
      <x:c r="K114" s="16" t="n">
        <x:v>16000</x:v>
      </x:c>
      <x:c r="L114" s="14" t="n">
        <x:f>SUM(I114:K114)</x:f>
        <x:v>150000</x:v>
      </x:c>
      <x:c r="M114" s="14" t="n">
        <x:f>H114-L114</x:f>
        <x:v>268000</x:v>
      </x:c>
    </x:row>
    <x:row r="115">
      <x:c r="A115" t="str">
        <x:v>T0114</x:v>
      </x:c>
      <x:c r="B115" t="n">
        <x:v>3</x:v>
      </x:c>
      <x:c r="C115" t="str">
        <x:v>C007</x:v>
      </x:c>
      <x:c r="D115" t="str">
        <x:v>IT</x:v>
      </x:c>
      <x:c r="E115" t="str">
        <x:v>Q1</x:v>
      </x:c>
      <x:c r="F115" t="str">
        <x:v>継続契約</x:v>
      </x:c>
      <x:c r="G115" t="str">
        <x:v>導入・運用支援</x:v>
      </x:c>
      <x:c r="H115" s="16" t="n">
        <x:v>404000</x:v>
      </x:c>
      <x:c r="I115" s="16" t="n">
        <x:v>67000</x:v>
      </x:c>
      <x:c r="J115" s="16" t="n">
        <x:v>43000</x:v>
      </x:c>
      <x:c r="K115" s="16" t="n">
        <x:v>12000</x:v>
      </x:c>
      <x:c r="L115" s="14" t="n">
        <x:f>SUM(I115:K115)</x:f>
        <x:v>122000</x:v>
      </x:c>
      <x:c r="M115" s="14" t="n">
        <x:f>H115-L115</x:f>
        <x:v>282000</x:v>
      </x:c>
    </x:row>
    <x:row r="116">
      <x:c r="A116" t="str">
        <x:v>T0115</x:v>
      </x:c>
      <x:c r="B116" t="n">
        <x:v>3</x:v>
      </x:c>
      <x:c r="C116" t="str">
        <x:v>C008</x:v>
      </x:c>
      <x:c r="D116" t="str">
        <x:v>IT</x:v>
      </x:c>
      <x:c r="E116" t="str">
        <x:v>Q1</x:v>
      </x:c>
      <x:c r="F116" t="str">
        <x:v>継続契約</x:v>
      </x:c>
      <x:c r="G116" t="str">
        <x:v>導入・運用支援</x:v>
      </x:c>
      <x:c r="H116" s="16" t="n">
        <x:v>1168000</x:v>
      </x:c>
      <x:c r="I116" s="16" t="n">
        <x:v>214000</x:v>
      </x:c>
      <x:c r="J116" s="16" t="n">
        <x:v>136000</x:v>
      </x:c>
      <x:c r="K116" s="16" t="n">
        <x:v>39000</x:v>
      </x:c>
      <x:c r="L116" s="14" t="n">
        <x:f>SUM(I116:K116)</x:f>
        <x:v>389000</x:v>
      </x:c>
      <x:c r="M116" s="14" t="n">
        <x:f>H116-L116</x:f>
        <x:v>779000</x:v>
      </x:c>
    </x:row>
    <x:row r="117">
      <x:c r="A117" t="str">
        <x:v>T0116</x:v>
      </x:c>
      <x:c r="B117" t="n">
        <x:v>3</x:v>
      </x:c>
      <x:c r="C117" t="str">
        <x:v>C011</x:v>
      </x:c>
      <x:c r="D117" t="str">
        <x:v>IT</x:v>
      </x:c>
      <x:c r="E117" t="str">
        <x:v>Q1</x:v>
      </x:c>
      <x:c r="F117" t="str">
        <x:v>継続契約</x:v>
      </x:c>
      <x:c r="G117" t="str">
        <x:v>導入・運用支援</x:v>
      </x:c>
      <x:c r="H117" s="16" t="n">
        <x:v>533000</x:v>
      </x:c>
      <x:c r="I117" s="16" t="n">
        <x:v>108000</x:v>
      </x:c>
      <x:c r="J117" s="16" t="n">
        <x:v>69000</x:v>
      </x:c>
      <x:c r="K117" s="16" t="n">
        <x:v>19000</x:v>
      </x:c>
      <x:c r="L117" s="14" t="n">
        <x:f>SUM(I117:K117)</x:f>
        <x:v>196000</x:v>
      </x:c>
      <x:c r="M117" s="14" t="n">
        <x:f>H117-L117</x:f>
        <x:v>337000</x:v>
      </x:c>
    </x:row>
    <x:row r="118">
      <x:c r="A118" t="str">
        <x:v>T0117</x:v>
      </x:c>
      <x:c r="B118" t="n">
        <x:v>3</x:v>
      </x:c>
      <x:c r="C118" t="str">
        <x:v>C011</x:v>
      </x:c>
      <x:c r="D118" t="str">
        <x:v>IT</x:v>
      </x:c>
      <x:c r="E118" t="str">
        <x:v>Q1</x:v>
      </x:c>
      <x:c r="F118" t="str">
        <x:v>継続契約</x:v>
      </x:c>
      <x:c r="G118" t="str">
        <x:v>導入・運用支援</x:v>
      </x:c>
      <x:c r="H118" s="16" t="n">
        <x:v>690000</x:v>
      </x:c>
      <x:c r="I118" s="16" t="n">
        <x:v>115000</x:v>
      </x:c>
      <x:c r="J118" s="16" t="n">
        <x:v>73000</x:v>
      </x:c>
      <x:c r="K118" s="16" t="n">
        <x:v>21000</x:v>
      </x:c>
      <x:c r="L118" s="14" t="n">
        <x:f>SUM(I118:K118)</x:f>
        <x:v>209000</x:v>
      </x:c>
      <x:c r="M118" s="14" t="n">
        <x:f>H118-L118</x:f>
        <x:v>481000</x:v>
      </x:c>
    </x:row>
    <x:row r="119">
      <x:c r="A119" t="str">
        <x:v>T0118</x:v>
      </x:c>
      <x:c r="B119" t="n">
        <x:v>3</x:v>
      </x:c>
      <x:c r="C119" t="str">
        <x:v>C012</x:v>
      </x:c>
      <x:c r="D119" t="str">
        <x:v>IT</x:v>
      </x:c>
      <x:c r="E119" t="str">
        <x:v>Q1</x:v>
      </x:c>
      <x:c r="F119" t="str">
        <x:v>継続契約</x:v>
      </x:c>
      <x:c r="G119" t="str">
        <x:v>導入・運用支援</x:v>
      </x:c>
      <x:c r="H119" s="16" t="n">
        <x:v>1010000</x:v>
      </x:c>
      <x:c r="I119" s="16" t="n">
        <x:v>177000</x:v>
      </x:c>
      <x:c r="J119" s="16" t="n">
        <x:v>112000</x:v>
      </x:c>
      <x:c r="K119" s="16" t="n">
        <x:v>32000</x:v>
      </x:c>
      <x:c r="L119" s="14" t="n">
        <x:f>SUM(I119:K119)</x:f>
        <x:v>321000</x:v>
      </x:c>
      <x:c r="M119" s="14" t="n">
        <x:f>H119-L119</x:f>
        <x:v>689000</x:v>
      </x:c>
    </x:row>
    <x:row r="120">
      <x:c r="A120" t="str">
        <x:v>T0119</x:v>
      </x:c>
      <x:c r="B120" t="n">
        <x:v>3</x:v>
      </x:c>
      <x:c r="C120" t="str">
        <x:v>C013</x:v>
      </x:c>
      <x:c r="D120" t="str">
        <x:v>IT</x:v>
      </x:c>
      <x:c r="E120" t="str">
        <x:v>Q1</x:v>
      </x:c>
      <x:c r="F120" t="str">
        <x:v>継続契約</x:v>
      </x:c>
      <x:c r="G120" t="str">
        <x:v>導入・運用支援</x:v>
      </x:c>
      <x:c r="H120" s="16" t="n">
        <x:v>659000</x:v>
      </x:c>
      <x:c r="I120" s="16" t="n">
        <x:v>145000</x:v>
      </x:c>
      <x:c r="J120" s="16" t="n">
        <x:v>92000</x:v>
      </x:c>
      <x:c r="K120" s="16" t="n">
        <x:v>26000</x:v>
      </x:c>
      <x:c r="L120" s="14" t="n">
        <x:f>SUM(I120:K120)</x:f>
        <x:v>263000</x:v>
      </x:c>
      <x:c r="M120" s="14" t="n">
        <x:f>H120-L120</x:f>
        <x:v>396000</x:v>
      </x:c>
    </x:row>
    <x:row r="121">
      <x:c r="A121" t="str">
        <x:v>T0120</x:v>
      </x:c>
      <x:c r="B121" t="n">
        <x:v>3</x:v>
      </x:c>
      <x:c r="C121" t="str">
        <x:v>C013</x:v>
      </x:c>
      <x:c r="D121" t="str">
        <x:v>IT</x:v>
      </x:c>
      <x:c r="E121" t="str">
        <x:v>Q1</x:v>
      </x:c>
      <x:c r="F121" t="str">
        <x:v>継続契約</x:v>
      </x:c>
      <x:c r="G121" t="str">
        <x:v>導入・運用支援</x:v>
      </x:c>
      <x:c r="H121" s="16" t="n">
        <x:v>783000</x:v>
      </x:c>
      <x:c r="I121" s="16" t="n">
        <x:v>168000</x:v>
      </x:c>
      <x:c r="J121" s="16" t="n">
        <x:v>107000</x:v>
      </x:c>
      <x:c r="K121" s="16" t="n">
        <x:v>31000</x:v>
      </x:c>
      <x:c r="L121" s="14" t="n">
        <x:f>SUM(I121:K121)</x:f>
        <x:v>306000</x:v>
      </x:c>
      <x:c r="M121" s="14" t="n">
        <x:f>H121-L121</x:f>
        <x:v>477000</x:v>
      </x:c>
    </x:row>
    <x:row r="122">
      <x:c r="A122" t="str">
        <x:v>T0121</x:v>
      </x:c>
      <x:c r="B122" t="n">
        <x:v>3</x:v>
      </x:c>
      <x:c r="C122" t="str">
        <x:v>C014</x:v>
      </x:c>
      <x:c r="D122" t="str">
        <x:v>IT</x:v>
      </x:c>
      <x:c r="E122" t="str">
        <x:v>Q1</x:v>
      </x:c>
      <x:c r="F122" t="str">
        <x:v>継続契約</x:v>
      </x:c>
      <x:c r="G122" t="str">
        <x:v>導入・運用支援</x:v>
      </x:c>
      <x:c r="H122" s="16" t="n">
        <x:v>421000</x:v>
      </x:c>
      <x:c r="I122" s="16" t="n">
        <x:v>90000</x:v>
      </x:c>
      <x:c r="J122" s="16" t="n">
        <x:v>57000</x:v>
      </x:c>
      <x:c r="K122" s="16" t="n">
        <x:v>17000</x:v>
      </x:c>
      <x:c r="L122" s="14" t="n">
        <x:f>SUM(I122:K122)</x:f>
        <x:v>164000</x:v>
      </x:c>
      <x:c r="M122" s="14" t="n">
        <x:f>H122-L122</x:f>
        <x:v>257000</x:v>
      </x:c>
    </x:row>
    <x:row r="123">
      <x:c r="A123" t="str">
        <x:v>T0122</x:v>
      </x:c>
      <x:c r="B123" t="n">
        <x:v>3</x:v>
      </x:c>
      <x:c r="C123" t="str">
        <x:v>C014</x:v>
      </x:c>
      <x:c r="D123" t="str">
        <x:v>IT</x:v>
      </x:c>
      <x:c r="E123" t="str">
        <x:v>Q1</x:v>
      </x:c>
      <x:c r="F123" t="str">
        <x:v>継続契約</x:v>
      </x:c>
      <x:c r="G123" t="str">
        <x:v>導入・運用支援</x:v>
      </x:c>
      <x:c r="H123" s="16" t="n">
        <x:v>753000</x:v>
      </x:c>
      <x:c r="I123" s="16" t="n">
        <x:v>141000</x:v>
      </x:c>
      <x:c r="J123" s="16" t="n">
        <x:v>90000</x:v>
      </x:c>
      <x:c r="K123" s="16" t="n">
        <x:v>25000</x:v>
      </x:c>
      <x:c r="L123" s="14" t="n">
        <x:f>SUM(I123:K123)</x:f>
        <x:v>256000</x:v>
      </x:c>
      <x:c r="M123" s="14" t="n">
        <x:f>H123-L123</x:f>
        <x:v>497000</x:v>
      </x:c>
    </x:row>
    <x:row r="124">
      <x:c r="A124" t="str">
        <x:v>T0123</x:v>
      </x:c>
      <x:c r="B124" t="n">
        <x:v>3</x:v>
      </x:c>
      <x:c r="C124" t="str">
        <x:v>C015</x:v>
      </x:c>
      <x:c r="D124" t="str">
        <x:v>IT</x:v>
      </x:c>
      <x:c r="E124" t="str">
        <x:v>Q1</x:v>
      </x:c>
      <x:c r="F124" t="str">
        <x:v>スポット中心</x:v>
      </x:c>
      <x:c r="G124" t="str">
        <x:v>導入・運用支援</x:v>
      </x:c>
      <x:c r="H124" s="16" t="n">
        <x:v>601000</x:v>
      </x:c>
      <x:c r="I124" s="16" t="n">
        <x:v>109000</x:v>
      </x:c>
      <x:c r="J124" s="16" t="n">
        <x:v>70000</x:v>
      </x:c>
      <x:c r="K124" s="16" t="n">
        <x:v>20000</x:v>
      </x:c>
      <x:c r="L124" s="14" t="n">
        <x:f>SUM(I124:K124)</x:f>
        <x:v>199000</x:v>
      </x:c>
      <x:c r="M124" s="14" t="n">
        <x:f>H124-L124</x:f>
        <x:v>402000</x:v>
      </x:c>
    </x:row>
    <x:row r="125">
      <x:c r="A125" t="str">
        <x:v>T0124</x:v>
      </x:c>
      <x:c r="B125" t="n">
        <x:v>3</x:v>
      </x:c>
      <x:c r="C125" t="str">
        <x:v>C015</x:v>
      </x:c>
      <x:c r="D125" t="str">
        <x:v>IT</x:v>
      </x:c>
      <x:c r="E125" t="str">
        <x:v>Q1</x:v>
      </x:c>
      <x:c r="F125" t="str">
        <x:v>スポット中心</x:v>
      </x:c>
      <x:c r="G125" t="str">
        <x:v>導入・運用支援</x:v>
      </x:c>
      <x:c r="H125" s="16" t="n">
        <x:v>764000</x:v>
      </x:c>
      <x:c r="I125" s="16" t="n">
        <x:v>160000</x:v>
      </x:c>
      <x:c r="J125" s="16" t="n">
        <x:v>102000</x:v>
      </x:c>
      <x:c r="K125" s="16" t="n">
        <x:v>28000</x:v>
      </x:c>
      <x:c r="L125" s="14" t="n">
        <x:f>SUM(I125:K125)</x:f>
        <x:v>290000</x:v>
      </x:c>
      <x:c r="M125" s="14" t="n">
        <x:f>H125-L125</x:f>
        <x:v>474000</x:v>
      </x:c>
    </x:row>
    <x:row r="126">
      <x:c r="A126" t="str">
        <x:v>T0125</x:v>
      </x:c>
      <x:c r="B126" t="n">
        <x:v>3</x:v>
      </x:c>
      <x:c r="C126" t="str">
        <x:v>C016</x:v>
      </x:c>
      <x:c r="D126" t="str">
        <x:v>IT</x:v>
      </x:c>
      <x:c r="E126" t="str">
        <x:v>Q1</x:v>
      </x:c>
      <x:c r="F126" t="str">
        <x:v>継続契約</x:v>
      </x:c>
      <x:c r="G126" t="str">
        <x:v>導入・運用支援</x:v>
      </x:c>
      <x:c r="H126" s="16" t="n">
        <x:v>509000</x:v>
      </x:c>
      <x:c r="I126" s="16" t="n">
        <x:v>86000</x:v>
      </x:c>
      <x:c r="J126" s="16" t="n">
        <x:v>55000</x:v>
      </x:c>
      <x:c r="K126" s="16" t="n">
        <x:v>15000</x:v>
      </x:c>
      <x:c r="L126" s="14" t="n">
        <x:f>SUM(I126:K126)</x:f>
        <x:v>156000</x:v>
      </x:c>
      <x:c r="M126" s="14" t="n">
        <x:f>H126-L126</x:f>
        <x:v>353000</x:v>
      </x:c>
    </x:row>
    <x:row r="127">
      <x:c r="A127" t="str">
        <x:v>T0126</x:v>
      </x:c>
      <x:c r="B127" t="n">
        <x:v>3</x:v>
      </x:c>
      <x:c r="C127" t="str">
        <x:v>C016</x:v>
      </x:c>
      <x:c r="D127" t="str">
        <x:v>IT</x:v>
      </x:c>
      <x:c r="E127" t="str">
        <x:v>Q1</x:v>
      </x:c>
      <x:c r="F127" t="str">
        <x:v>継続契約</x:v>
      </x:c>
      <x:c r="G127" t="str">
        <x:v>導入・運用支援</x:v>
      </x:c>
      <x:c r="H127" s="16" t="n">
        <x:v>706000</x:v>
      </x:c>
      <x:c r="I127" s="16" t="n">
        <x:v>118000</x:v>
      </x:c>
      <x:c r="J127" s="16" t="n">
        <x:v>75000</x:v>
      </x:c>
      <x:c r="K127" s="16" t="n">
        <x:v>21000</x:v>
      </x:c>
      <x:c r="L127" s="14" t="n">
        <x:f>SUM(I127:K127)</x:f>
        <x:v>214000</x:v>
      </x:c>
      <x:c r="M127" s="14" t="n">
        <x:f>H127-L127</x:f>
        <x:v>492000</x:v>
      </x:c>
    </x:row>
    <x:row r="128">
      <x:c r="A128" t="str">
        <x:v>T0127</x:v>
      </x:c>
      <x:c r="B128" t="n">
        <x:v>3</x:v>
      </x:c>
      <x:c r="C128" t="str">
        <x:v>C017</x:v>
      </x:c>
      <x:c r="D128" t="str">
        <x:v>IT</x:v>
      </x:c>
      <x:c r="E128" t="str">
        <x:v>Q1</x:v>
      </x:c>
      <x:c r="F128" t="str">
        <x:v>継続契約</x:v>
      </x:c>
      <x:c r="G128" t="str">
        <x:v>導入・運用支援</x:v>
      </x:c>
      <x:c r="H128" s="16" t="n">
        <x:v>415000</x:v>
      </x:c>
      <x:c r="I128" s="16" t="n">
        <x:v>82000</x:v>
      </x:c>
      <x:c r="J128" s="16" t="n">
        <x:v>52000</x:v>
      </x:c>
      <x:c r="K128" s="16" t="n">
        <x:v>16000</x:v>
      </x:c>
      <x:c r="L128" s="14" t="n">
        <x:f>SUM(I128:K128)</x:f>
        <x:v>150000</x:v>
      </x:c>
      <x:c r="M128" s="14" t="n">
        <x:f>H128-L128</x:f>
        <x:v>265000</x:v>
      </x:c>
    </x:row>
    <x:row r="129">
      <x:c r="A129" t="str">
        <x:v>T0128</x:v>
      </x:c>
      <x:c r="B129" t="n">
        <x:v>3</x:v>
      </x:c>
      <x:c r="C129" t="str">
        <x:v>C017</x:v>
      </x:c>
      <x:c r="D129" t="str">
        <x:v>IT</x:v>
      </x:c>
      <x:c r="E129" t="str">
        <x:v>Q1</x:v>
      </x:c>
      <x:c r="F129" t="str">
        <x:v>継続契約</x:v>
      </x:c>
      <x:c r="G129" t="str">
        <x:v>導入・運用支援</x:v>
      </x:c>
      <x:c r="H129" s="16" t="n">
        <x:v>570000</x:v>
      </x:c>
      <x:c r="I129" s="16" t="n">
        <x:v>100000</x:v>
      </x:c>
      <x:c r="J129" s="16" t="n">
        <x:v>63000</x:v>
      </x:c>
      <x:c r="K129" s="16" t="n">
        <x:v>18000</x:v>
      </x:c>
      <x:c r="L129" s="14" t="n">
        <x:f>SUM(I129:K129)</x:f>
        <x:v>181000</x:v>
      </x:c>
      <x:c r="M129" s="14" t="n">
        <x:f>H129-L129</x:f>
        <x:v>389000</x:v>
      </x:c>
    </x:row>
    <x:row r="130">
      <x:c r="A130" t="str">
        <x:v>T0129</x:v>
      </x:c>
      <x:c r="B130" t="n">
        <x:v>3</x:v>
      </x:c>
      <x:c r="C130" t="str">
        <x:v>C019</x:v>
      </x:c>
      <x:c r="D130" t="str">
        <x:v>BPO</x:v>
      </x:c>
      <x:c r="E130" t="str">
        <x:v>Q1</x:v>
      </x:c>
      <x:c r="F130" t="str">
        <x:v>継続契約</x:v>
      </x:c>
      <x:c r="G130" t="str">
        <x:v>業務運用代行</x:v>
      </x:c>
      <x:c r="H130" s="16" t="n">
        <x:v>1422000</x:v>
      </x:c>
      <x:c r="I130" s="16" t="n">
        <x:v>238000</x:v>
      </x:c>
      <x:c r="J130" s="16" t="n">
        <x:v>41000</x:v>
      </x:c>
      <x:c r="K130" s="16" t="n">
        <x:v>34000</x:v>
      </x:c>
      <x:c r="L130" s="14" t="n">
        <x:f>SUM(I130:K130)</x:f>
        <x:v>313000</x:v>
      </x:c>
      <x:c r="M130" s="14" t="n">
        <x:f>H130-L130</x:f>
        <x:v>1109000</x:v>
      </x:c>
    </x:row>
    <x:row r="131">
      <x:c r="A131" t="str">
        <x:v>T0130</x:v>
      </x:c>
      <x:c r="B131" t="n">
        <x:v>3</x:v>
      </x:c>
      <x:c r="C131" t="str">
        <x:v>C019</x:v>
      </x:c>
      <x:c r="D131" t="str">
        <x:v>BPO</x:v>
      </x:c>
      <x:c r="E131" t="str">
        <x:v>Q1</x:v>
      </x:c>
      <x:c r="F131" t="str">
        <x:v>継続契約</x:v>
      </x:c>
      <x:c r="G131" t="str">
        <x:v>業務運用代行</x:v>
      </x:c>
      <x:c r="H131" s="16" t="n">
        <x:v>1988000</x:v>
      </x:c>
      <x:c r="I131" s="16" t="n">
        <x:v>389000</x:v>
      </x:c>
      <x:c r="J131" s="16" t="n">
        <x:v>67000</x:v>
      </x:c>
      <x:c r="K131" s="16" t="n">
        <x:v>56000</x:v>
      </x:c>
      <x:c r="L131" s="14" t="n">
        <x:f>SUM(I131:K131)</x:f>
        <x:v>512000</x:v>
      </x:c>
      <x:c r="M131" s="14" t="n">
        <x:f>H131-L131</x:f>
        <x:v>1476000</x:v>
      </x:c>
    </x:row>
    <x:row r="132">
      <x:c r="A132" t="str">
        <x:v>T0131</x:v>
      </x:c>
      <x:c r="B132" t="n">
        <x:v>3</x:v>
      </x:c>
      <x:c r="C132" t="str">
        <x:v>C020</x:v>
      </x:c>
      <x:c r="D132" t="str">
        <x:v>BPO</x:v>
      </x:c>
      <x:c r="E132" t="str">
        <x:v>Q1</x:v>
      </x:c>
      <x:c r="F132" t="str">
        <x:v>継続契約</x:v>
      </x:c>
      <x:c r="G132" t="str">
        <x:v>業務運用代行</x:v>
      </x:c>
      <x:c r="H132" s="16" t="n">
        <x:v>651000</x:v>
      </x:c>
      <x:c r="I132" s="16" t="n">
        <x:v>114000</x:v>
      </x:c>
      <x:c r="J132" s="16" t="n">
        <x:v>20000</x:v>
      </x:c>
      <x:c r="K132" s="16" t="n">
        <x:v>16000</x:v>
      </x:c>
      <x:c r="L132" s="14" t="n">
        <x:f>SUM(I132:K132)</x:f>
        <x:v>150000</x:v>
      </x:c>
      <x:c r="M132" s="14" t="n">
        <x:f>H132-L132</x:f>
        <x:v>501000</x:v>
      </x:c>
    </x:row>
    <x:row r="133">
      <x:c r="A133" t="str">
        <x:v>T0132</x:v>
      </x:c>
      <x:c r="B133" t="n">
        <x:v>3</x:v>
      </x:c>
      <x:c r="C133" t="str">
        <x:v>C020</x:v>
      </x:c>
      <x:c r="D133" t="str">
        <x:v>BPO</x:v>
      </x:c>
      <x:c r="E133" t="str">
        <x:v>Q1</x:v>
      </x:c>
      <x:c r="F133" t="str">
        <x:v>継続契約</x:v>
      </x:c>
      <x:c r="G133" t="str">
        <x:v>業務運用代行</x:v>
      </x:c>
      <x:c r="H133" s="16" t="n">
        <x:v>844000</x:v>
      </x:c>
      <x:c r="I133" s="16" t="n">
        <x:v>160000</x:v>
      </x:c>
      <x:c r="J133" s="16" t="n">
        <x:v>27000</x:v>
      </x:c>
      <x:c r="K133" s="16" t="n">
        <x:v>23000</x:v>
      </x:c>
      <x:c r="L133" s="14" t="n">
        <x:f>SUM(I133:K133)</x:f>
        <x:v>210000</x:v>
      </x:c>
      <x:c r="M133" s="14" t="n">
        <x:f>H133-L133</x:f>
        <x:v>634000</x:v>
      </x:c>
    </x:row>
    <x:row r="134">
      <x:c r="A134" t="str">
        <x:v>T0133</x:v>
      </x:c>
      <x:c r="B134" t="n">
        <x:v>3</x:v>
      </x:c>
      <x:c r="C134" t="str">
        <x:v>C021</x:v>
      </x:c>
      <x:c r="D134" t="str">
        <x:v>BPO</x:v>
      </x:c>
      <x:c r="E134" t="str">
        <x:v>Q1</x:v>
      </x:c>
      <x:c r="F134" t="str">
        <x:v>継続契約</x:v>
      </x:c>
      <x:c r="G134" t="str">
        <x:v>業務運用代行</x:v>
      </x:c>
      <x:c r="H134" s="16" t="n">
        <x:v>450000</x:v>
      </x:c>
      <x:c r="I134" s="16" t="n">
        <x:v>84000</x:v>
      </x:c>
      <x:c r="J134" s="16" t="n">
        <x:v>14000</x:v>
      </x:c>
      <x:c r="K134" s="16" t="n">
        <x:v>13000</x:v>
      </x:c>
      <x:c r="L134" s="14" t="n">
        <x:f>SUM(I134:K134)</x:f>
        <x:v>111000</x:v>
      </x:c>
      <x:c r="M134" s="14" t="n">
        <x:f>H134-L134</x:f>
        <x:v>339000</x:v>
      </x:c>
    </x:row>
    <x:row r="135">
      <x:c r="A135" t="str">
        <x:v>T0134</x:v>
      </x:c>
      <x:c r="B135" t="n">
        <x:v>3</x:v>
      </x:c>
      <x:c r="C135" t="str">
        <x:v>C021</x:v>
      </x:c>
      <x:c r="D135" t="str">
        <x:v>BPO</x:v>
      </x:c>
      <x:c r="E135" t="str">
        <x:v>Q1</x:v>
      </x:c>
      <x:c r="F135" t="str">
        <x:v>継続契約</x:v>
      </x:c>
      <x:c r="G135" t="str">
        <x:v>業務運用代行</x:v>
      </x:c>
      <x:c r="H135" s="16" t="n">
        <x:v>609000</x:v>
      </x:c>
      <x:c r="I135" s="16" t="n">
        <x:v>101000</x:v>
      </x:c>
      <x:c r="J135" s="16" t="n">
        <x:v>17000</x:v>
      </x:c>
      <x:c r="K135" s="16" t="n">
        <x:v>15000</x:v>
      </x:c>
      <x:c r="L135" s="14" t="n">
        <x:f>SUM(I135:K135)</x:f>
        <x:v>133000</x:v>
      </x:c>
      <x:c r="M135" s="14" t="n">
        <x:f>H135-L135</x:f>
        <x:v>476000</x:v>
      </x:c>
    </x:row>
    <x:row r="136">
      <x:c r="A136" t="str">
        <x:v>T0135</x:v>
      </x:c>
      <x:c r="B136" t="n">
        <x:v>3</x:v>
      </x:c>
      <x:c r="C136" t="str">
        <x:v>C022</x:v>
      </x:c>
      <x:c r="D136" t="str">
        <x:v>BPO</x:v>
      </x:c>
      <x:c r="E136" t="str">
        <x:v>Q1</x:v>
      </x:c>
      <x:c r="F136" t="str">
        <x:v>継続契約</x:v>
      </x:c>
      <x:c r="G136" t="str">
        <x:v>業務運用代行</x:v>
      </x:c>
      <x:c r="H136" s="16" t="n">
        <x:v>984000</x:v>
      </x:c>
      <x:c r="I136" s="16" t="n">
        <x:v>197000</x:v>
      </x:c>
      <x:c r="J136" s="16" t="n">
        <x:v>34000</x:v>
      </x:c>
      <x:c r="K136" s="16" t="n">
        <x:v>28000</x:v>
      </x:c>
      <x:c r="L136" s="14" t="n">
        <x:f>SUM(I136:K136)</x:f>
        <x:v>259000</x:v>
      </x:c>
      <x:c r="M136" s="14" t="n">
        <x:f>H136-L136</x:f>
        <x:v>725000</x:v>
      </x:c>
    </x:row>
    <x:row r="137">
      <x:c r="A137" t="str">
        <x:v>T0136</x:v>
      </x:c>
      <x:c r="B137" t="n">
        <x:v>3</x:v>
      </x:c>
      <x:c r="C137" t="str">
        <x:v>C023</x:v>
      </x:c>
      <x:c r="D137" t="str">
        <x:v>BPO</x:v>
      </x:c>
      <x:c r="E137" t="str">
        <x:v>Q1</x:v>
      </x:c>
      <x:c r="F137" t="str">
        <x:v>継続契約</x:v>
      </x:c>
      <x:c r="G137" t="str">
        <x:v>業務運用代行</x:v>
      </x:c>
      <x:c r="H137" s="16" t="n">
        <x:v>1529000</x:v>
      </x:c>
      <x:c r="I137" s="16" t="n">
        <x:v>331000</x:v>
      </x:c>
      <x:c r="J137" s="16" t="n">
        <x:v>57000</x:v>
      </x:c>
      <x:c r="K137" s="16" t="n">
        <x:v>48000</x:v>
      </x:c>
      <x:c r="L137" s="14" t="n">
        <x:f>SUM(I137:K137)</x:f>
        <x:v>436000</x:v>
      </x:c>
      <x:c r="M137" s="14" t="n">
        <x:f>H137-L137</x:f>
        <x:v>1093000</x:v>
      </x:c>
    </x:row>
    <x:row r="138">
      <x:c r="A138" t="str">
        <x:v>T0137</x:v>
      </x:c>
      <x:c r="B138" t="n">
        <x:v>3</x:v>
      </x:c>
      <x:c r="C138" t="str">
        <x:v>C024</x:v>
      </x:c>
      <x:c r="D138" t="str">
        <x:v>BPO</x:v>
      </x:c>
      <x:c r="E138" t="str">
        <x:v>Q1</x:v>
      </x:c>
      <x:c r="F138" t="str">
        <x:v>継続契約</x:v>
      </x:c>
      <x:c r="G138" t="str">
        <x:v>業務運用代行</x:v>
      </x:c>
      <x:c r="H138" s="16" t="n">
        <x:v>481000</x:v>
      </x:c>
      <x:c r="I138" s="16" t="n">
        <x:v>84000</x:v>
      </x:c>
      <x:c r="J138" s="16" t="n">
        <x:v>14000</x:v>
      </x:c>
      <x:c r="K138" s="16" t="n">
        <x:v>12000</x:v>
      </x:c>
      <x:c r="L138" s="14" t="n">
        <x:f>SUM(I138:K138)</x:f>
        <x:v>110000</x:v>
      </x:c>
      <x:c r="M138" s="14" t="n">
        <x:f>H138-L138</x:f>
        <x:v>371000</x:v>
      </x:c>
    </x:row>
    <x:row r="139">
      <x:c r="A139" t="str">
        <x:v>T0138</x:v>
      </x:c>
      <x:c r="B139" t="n">
        <x:v>3</x:v>
      </x:c>
      <x:c r="C139" t="str">
        <x:v>C024</x:v>
      </x:c>
      <x:c r="D139" t="str">
        <x:v>BPO</x:v>
      </x:c>
      <x:c r="E139" t="str">
        <x:v>Q1</x:v>
      </x:c>
      <x:c r="F139" t="str">
        <x:v>継続契約</x:v>
      </x:c>
      <x:c r="G139" t="str">
        <x:v>業務運用代行</x:v>
      </x:c>
      <x:c r="H139" s="16" t="n">
        <x:v>342000</x:v>
      </x:c>
      <x:c r="I139" s="16" t="n">
        <x:v>58000</x:v>
      </x:c>
      <x:c r="J139" s="16" t="n">
        <x:v>10000</x:v>
      </x:c>
      <x:c r="K139" s="16" t="n">
        <x:v>8000</x:v>
      </x:c>
      <x:c r="L139" s="14" t="n">
        <x:f>SUM(I139:K139)</x:f>
        <x:v>76000</x:v>
      </x:c>
      <x:c r="M139" s="14" t="n">
        <x:f>H139-L139</x:f>
        <x:v>266000</x:v>
      </x:c>
    </x:row>
    <x:row r="140">
      <x:c r="A140" t="str">
        <x:v>T0139</x:v>
      </x:c>
      <x:c r="B140" t="n">
        <x:v>3</x:v>
      </x:c>
      <x:c r="C140" t="str">
        <x:v>C025</x:v>
      </x:c>
      <x:c r="D140" t="str">
        <x:v>BPO</x:v>
      </x:c>
      <x:c r="E140" t="str">
        <x:v>Q1</x:v>
      </x:c>
      <x:c r="F140" t="str">
        <x:v>継続契約</x:v>
      </x:c>
      <x:c r="G140" t="str">
        <x:v>業務運用代行</x:v>
      </x:c>
      <x:c r="H140" s="16" t="n">
        <x:v>555000</x:v>
      </x:c>
      <x:c r="I140" s="16" t="n">
        <x:v>96000</x:v>
      </x:c>
      <x:c r="J140" s="16" t="n">
        <x:v>16000</x:v>
      </x:c>
      <x:c r="K140" s="16" t="n">
        <x:v>14000</x:v>
      </x:c>
      <x:c r="L140" s="14" t="n">
        <x:f>SUM(I140:K140)</x:f>
        <x:v>126000</x:v>
      </x:c>
      <x:c r="M140" s="14" t="n">
        <x:f>H140-L140</x:f>
        <x:v>429000</x:v>
      </x:c>
    </x:row>
    <x:row r="141">
      <x:c r="A141" t="str">
        <x:v>T0140</x:v>
      </x:c>
      <x:c r="B141" t="n">
        <x:v>3</x:v>
      </x:c>
      <x:c r="C141" t="str">
        <x:v>C025</x:v>
      </x:c>
      <x:c r="D141" t="str">
        <x:v>BPO</x:v>
      </x:c>
      <x:c r="E141" t="str">
        <x:v>Q1</x:v>
      </x:c>
      <x:c r="F141" t="str">
        <x:v>継続契約</x:v>
      </x:c>
      <x:c r="G141" t="str">
        <x:v>業務運用代行</x:v>
      </x:c>
      <x:c r="H141" s="16" t="n">
        <x:v>466000</x:v>
      </x:c>
      <x:c r="I141" s="16" t="n">
        <x:v>83000</x:v>
      </x:c>
      <x:c r="J141" s="16" t="n">
        <x:v>14000</x:v>
      </x:c>
      <x:c r="K141" s="16" t="n">
        <x:v>12000</x:v>
      </x:c>
      <x:c r="L141" s="14" t="n">
        <x:f>SUM(I141:K141)</x:f>
        <x:v>109000</x:v>
      </x:c>
      <x:c r="M141" s="14" t="n">
        <x:f>H141-L141</x:f>
        <x:v>357000</x:v>
      </x:c>
    </x:row>
    <x:row r="142">
      <x:c r="A142" t="str">
        <x:v>T0141</x:v>
      </x:c>
      <x:c r="B142" t="n">
        <x:v>3</x:v>
      </x:c>
      <x:c r="C142" t="str">
        <x:v>C026</x:v>
      </x:c>
      <x:c r="D142" t="str">
        <x:v>BPO</x:v>
      </x:c>
      <x:c r="E142" t="str">
        <x:v>Q1</x:v>
      </x:c>
      <x:c r="F142" t="str">
        <x:v>継続契約</x:v>
      </x:c>
      <x:c r="G142" t="str">
        <x:v>業務運用代行</x:v>
      </x:c>
      <x:c r="H142" s="16" t="n">
        <x:v>999000</x:v>
      </x:c>
      <x:c r="I142" s="16" t="n">
        <x:v>185000</x:v>
      </x:c>
      <x:c r="J142" s="16" t="n">
        <x:v>32000</x:v>
      </x:c>
      <x:c r="K142" s="16" t="n">
        <x:v>26000</x:v>
      </x:c>
      <x:c r="L142" s="14" t="n">
        <x:f>SUM(I142:K142)</x:f>
        <x:v>243000</x:v>
      </x:c>
      <x:c r="M142" s="14" t="n">
        <x:f>H142-L142</x:f>
        <x:v>756000</x:v>
      </x:c>
    </x:row>
    <x:row r="143">
      <x:c r="A143" t="str">
        <x:v>T0142</x:v>
      </x:c>
      <x:c r="B143" t="n">
        <x:v>3</x:v>
      </x:c>
      <x:c r="C143" t="str">
        <x:v>C027</x:v>
      </x:c>
      <x:c r="D143" t="str">
        <x:v>BPO</x:v>
      </x:c>
      <x:c r="E143" t="str">
        <x:v>Q1</x:v>
      </x:c>
      <x:c r="F143" t="str">
        <x:v>継続契約</x:v>
      </x:c>
      <x:c r="G143" t="str">
        <x:v>業務運用代行</x:v>
      </x:c>
      <x:c r="H143" s="16" t="n">
        <x:v>1575000</x:v>
      </x:c>
      <x:c r="I143" s="16" t="n">
        <x:v>313000</x:v>
      </x:c>
      <x:c r="J143" s="16" t="n">
        <x:v>54000</x:v>
      </x:c>
      <x:c r="K143" s="16" t="n">
        <x:v>45000</x:v>
      </x:c>
      <x:c r="L143" s="14" t="n">
        <x:f>SUM(I143:K143)</x:f>
        <x:v>412000</x:v>
      </x:c>
      <x:c r="M143" s="14" t="n">
        <x:f>H143-L143</x:f>
        <x:v>1163000</x:v>
      </x:c>
    </x:row>
    <x:row r="144">
      <x:c r="A144" t="str">
        <x:v>T0143</x:v>
      </x:c>
      <x:c r="B144" t="n">
        <x:v>3</x:v>
      </x:c>
      <x:c r="C144" t="str">
        <x:v>C028</x:v>
      </x:c>
      <x:c r="D144" t="str">
        <x:v>BPO</x:v>
      </x:c>
      <x:c r="E144" t="str">
        <x:v>Q1</x:v>
      </x:c>
      <x:c r="F144" t="str">
        <x:v>継続契約</x:v>
      </x:c>
      <x:c r="G144" t="str">
        <x:v>業務運用代行</x:v>
      </x:c>
      <x:c r="H144" s="16" t="n">
        <x:v>1245000</x:v>
      </x:c>
      <x:c r="I144" s="16" t="n">
        <x:v>227000</x:v>
      </x:c>
      <x:c r="J144" s="16" t="n">
        <x:v>39000</x:v>
      </x:c>
      <x:c r="K144" s="16" t="n">
        <x:v>33000</x:v>
      </x:c>
      <x:c r="L144" s="14" t="n">
        <x:f>SUM(I144:K144)</x:f>
        <x:v>299000</x:v>
      </x:c>
      <x:c r="M144" s="14" t="n">
        <x:f>H144-L144</x:f>
        <x:v>946000</x:v>
      </x:c>
    </x:row>
    <x:row r="145">
      <x:c r="A145" t="str">
        <x:v>T0144</x:v>
      </x:c>
      <x:c r="B145" t="n">
        <x:v>3</x:v>
      </x:c>
      <x:c r="C145" t="str">
        <x:v>C029</x:v>
      </x:c>
      <x:c r="D145" t="str">
        <x:v>BPO</x:v>
      </x:c>
      <x:c r="E145" t="str">
        <x:v>Q1</x:v>
      </x:c>
      <x:c r="F145" t="str">
        <x:v>継続契約</x:v>
      </x:c>
      <x:c r="G145" t="str">
        <x:v>業務運用代行</x:v>
      </x:c>
      <x:c r="H145" s="16" t="n">
        <x:v>664000</x:v>
      </x:c>
      <x:c r="I145" s="16" t="n">
        <x:v>132000</x:v>
      </x:c>
      <x:c r="J145" s="16" t="n">
        <x:v>23000</x:v>
      </x:c>
      <x:c r="K145" s="16" t="n">
        <x:v>19000</x:v>
      </x:c>
      <x:c r="L145" s="14" t="n">
        <x:f>SUM(I145:K145)</x:f>
        <x:v>174000</x:v>
      </x:c>
      <x:c r="M145" s="14" t="n">
        <x:f>H145-L145</x:f>
        <x:v>490000</x:v>
      </x:c>
    </x:row>
    <x:row r="146">
      <x:c r="A146" t="str">
        <x:v>T0145</x:v>
      </x:c>
      <x:c r="B146" t="n">
        <x:v>3</x:v>
      </x:c>
      <x:c r="C146" t="str">
        <x:v>C029</x:v>
      </x:c>
      <x:c r="D146" t="str">
        <x:v>BPO</x:v>
      </x:c>
      <x:c r="E146" t="str">
        <x:v>Q1</x:v>
      </x:c>
      <x:c r="F146" t="str">
        <x:v>継続契約</x:v>
      </x:c>
      <x:c r="G146" t="str">
        <x:v>業務運用代行</x:v>
      </x:c>
      <x:c r="H146" s="16" t="n">
        <x:v>569000</x:v>
      </x:c>
      <x:c r="I146" s="16" t="n">
        <x:v>125000</x:v>
      </x:c>
      <x:c r="J146" s="16" t="n">
        <x:v>21000</x:v>
      </x:c>
      <x:c r="K146" s="16" t="n">
        <x:v>18000</x:v>
      </x:c>
      <x:c r="L146" s="14" t="n">
        <x:f>SUM(I146:K146)</x:f>
        <x:v>164000</x:v>
      </x:c>
      <x:c r="M146" s="14" t="n">
        <x:f>H146-L146</x:f>
        <x:v>405000</x:v>
      </x:c>
    </x:row>
    <x:row r="147">
      <x:c r="A147" t="str">
        <x:v>T0146</x:v>
      </x:c>
      <x:c r="B147" t="n">
        <x:v>3</x:v>
      </x:c>
      <x:c r="C147" t="str">
        <x:v>C030</x:v>
      </x:c>
      <x:c r="D147" t="str">
        <x:v>BPO</x:v>
      </x:c>
      <x:c r="E147" t="str">
        <x:v>Q1</x:v>
      </x:c>
      <x:c r="F147" t="str">
        <x:v>継続契約</x:v>
      </x:c>
      <x:c r="G147" t="str">
        <x:v>業務運用代行</x:v>
      </x:c>
      <x:c r="H147" s="16" t="n">
        <x:v>1479000</x:v>
      </x:c>
      <x:c r="I147" s="16" t="n">
        <x:v>249000</x:v>
      </x:c>
      <x:c r="J147" s="16" t="n">
        <x:v>43000</x:v>
      </x:c>
      <x:c r="K147" s="16" t="n">
        <x:v>36000</x:v>
      </x:c>
      <x:c r="L147" s="14" t="n">
        <x:f>SUM(I147:K147)</x:f>
        <x:v>328000</x:v>
      </x:c>
      <x:c r="M147" s="14" t="n">
        <x:f>H147-L147</x:f>
        <x:v>1151000</x:v>
      </x:c>
    </x:row>
    <x:row r="148">
      <x:c r="A148" t="str">
        <x:v>T0147</x:v>
      </x:c>
      <x:c r="B148" t="n">
        <x:v>3</x:v>
      </x:c>
      <x:c r="C148" t="str">
        <x:v>C031</x:v>
      </x:c>
      <x:c r="D148" t="str">
        <x:v>BPO</x:v>
      </x:c>
      <x:c r="E148" t="str">
        <x:v>Q1</x:v>
      </x:c>
      <x:c r="F148" t="str">
        <x:v>継続契約</x:v>
      </x:c>
      <x:c r="G148" t="str">
        <x:v>業務運用代行</x:v>
      </x:c>
      <x:c r="H148" s="16" t="n">
        <x:v>1433000</x:v>
      </x:c>
      <x:c r="I148" s="16" t="n">
        <x:v>248000</x:v>
      </x:c>
      <x:c r="J148" s="16" t="n">
        <x:v>42000</x:v>
      </x:c>
      <x:c r="K148" s="16" t="n">
        <x:v>36000</x:v>
      </x:c>
      <x:c r="L148" s="14" t="n">
        <x:f>SUM(I148:K148)</x:f>
        <x:v>326000</x:v>
      </x:c>
      <x:c r="M148" s="14" t="n">
        <x:f>H148-L148</x:f>
        <x:v>1107000</x:v>
      </x:c>
    </x:row>
    <x:row r="149">
      <x:c r="A149" t="str">
        <x:v>T0148</x:v>
      </x:c>
      <x:c r="B149" t="n">
        <x:v>3</x:v>
      </x:c>
      <x:c r="C149" t="str">
        <x:v>C032</x:v>
      </x:c>
      <x:c r="D149" t="str">
        <x:v>BPO</x:v>
      </x:c>
      <x:c r="E149" t="str">
        <x:v>Q1</x:v>
      </x:c>
      <x:c r="F149" t="str">
        <x:v>継続契約</x:v>
      </x:c>
      <x:c r="G149" t="str">
        <x:v>業務運用代行</x:v>
      </x:c>
      <x:c r="H149" s="16" t="n">
        <x:v>1450000</x:v>
      </x:c>
      <x:c r="I149" s="16" t="n">
        <x:v>302000</x:v>
      </x:c>
      <x:c r="J149" s="16" t="n">
        <x:v>52000</x:v>
      </x:c>
      <x:c r="K149" s="16" t="n">
        <x:v>44000</x:v>
      </x:c>
      <x:c r="L149" s="14" t="n">
        <x:f>SUM(I149:K149)</x:f>
        <x:v>398000</x:v>
      </x:c>
      <x:c r="M149" s="14" t="n">
        <x:f>H149-L149</x:f>
        <x:v>1052000</x:v>
      </x:c>
    </x:row>
    <x:row r="150">
      <x:c r="A150" t="str">
        <x:v>T0149</x:v>
      </x:c>
      <x:c r="B150" t="n">
        <x:v>3</x:v>
      </x:c>
      <x:c r="C150" t="str">
        <x:v>C033</x:v>
      </x:c>
      <x:c r="D150" t="str">
        <x:v>BPO</x:v>
      </x:c>
      <x:c r="E150" t="str">
        <x:v>Q1</x:v>
      </x:c>
      <x:c r="F150" t="str">
        <x:v>継続契約</x:v>
      </x:c>
      <x:c r="G150" t="str">
        <x:v>業務運用代行</x:v>
      </x:c>
      <x:c r="H150" s="16" t="n">
        <x:v>1350000</x:v>
      </x:c>
      <x:c r="I150" s="16" t="n">
        <x:v>276000</x:v>
      </x:c>
      <x:c r="J150" s="16" t="n">
        <x:v>47000</x:v>
      </x:c>
      <x:c r="K150" s="16" t="n">
        <x:v>40000</x:v>
      </x:c>
      <x:c r="L150" s="14" t="n">
        <x:f>SUM(I150:K150)</x:f>
        <x:v>363000</x:v>
      </x:c>
      <x:c r="M150" s="14" t="n">
        <x:f>H150-L150</x:f>
        <x:v>987000</x:v>
      </x:c>
    </x:row>
    <x:row r="151">
      <x:c r="A151" t="str">
        <x:v>T0150</x:v>
      </x:c>
      <x:c r="B151" t="n">
        <x:v>3</x:v>
      </x:c>
      <x:c r="C151" t="str">
        <x:v>C034</x:v>
      </x:c>
      <x:c r="D151" t="str">
        <x:v>TRN</x:v>
      </x:c>
      <x:c r="E151" t="str">
        <x:v>Q1</x:v>
      </x:c>
      <x:c r="F151" t="str">
        <x:v>継続契約</x:v>
      </x:c>
      <x:c r="G151" t="str">
        <x:v>研修プログラム</x:v>
      </x:c>
      <x:c r="H151" s="16" t="n">
        <x:v>1935000</x:v>
      </x:c>
      <x:c r="I151" s="16" t="n">
        <x:v>93000</x:v>
      </x:c>
      <x:c r="J151" s="16" t="n">
        <x:v>47000</x:v>
      </x:c>
      <x:c r="K151" s="16" t="n">
        <x:v>119000</x:v>
      </x:c>
      <x:c r="L151" s="14" t="n">
        <x:f>SUM(I151:K151)</x:f>
        <x:v>259000</x:v>
      </x:c>
      <x:c r="M151" s="14" t="n">
        <x:f>H151-L151</x:f>
        <x:v>1676000</x:v>
      </x:c>
    </x:row>
    <x:row r="152">
      <x:c r="A152" t="str">
        <x:v>T0151</x:v>
      </x:c>
      <x:c r="B152" t="n">
        <x:v>3</x:v>
      </x:c>
      <x:c r="C152" t="str">
        <x:v>C036</x:v>
      </x:c>
      <x:c r="D152" t="str">
        <x:v>TRN</x:v>
      </x:c>
      <x:c r="E152" t="str">
        <x:v>Q1</x:v>
      </x:c>
      <x:c r="F152" t="str">
        <x:v>継続契約</x:v>
      </x:c>
      <x:c r="G152" t="str">
        <x:v>研修プログラム</x:v>
      </x:c>
      <x:c r="H152" s="16" t="n">
        <x:v>1020000</x:v>
      </x:c>
      <x:c r="I152" s="16" t="n">
        <x:v>60000</x:v>
      </x:c>
      <x:c r="J152" s="16" t="n">
        <x:v>30000</x:v>
      </x:c>
      <x:c r="K152" s="16" t="n">
        <x:v>78000</x:v>
      </x:c>
      <x:c r="L152" s="14" t="n">
        <x:f>SUM(I152:K152)</x:f>
        <x:v>168000</x:v>
      </x:c>
      <x:c r="M152" s="14" t="n">
        <x:f>H152-L152</x:f>
        <x:v>852000</x:v>
      </x:c>
    </x:row>
    <x:row r="153">
      <x:c r="A153" t="str">
        <x:v>T0152</x:v>
      </x:c>
      <x:c r="B153" t="n">
        <x:v>3</x:v>
      </x:c>
      <x:c r="C153" t="str">
        <x:v>C037</x:v>
      </x:c>
      <x:c r="D153" t="str">
        <x:v>TRN</x:v>
      </x:c>
      <x:c r="E153" t="str">
        <x:v>Q1</x:v>
      </x:c>
      <x:c r="F153" t="str">
        <x:v>継続契約</x:v>
      </x:c>
      <x:c r="G153" t="str">
        <x:v>研修プログラム</x:v>
      </x:c>
      <x:c r="H153" s="16" t="n">
        <x:v>705000</x:v>
      </x:c>
      <x:c r="I153" s="16" t="n">
        <x:v>52000</x:v>
      </x:c>
      <x:c r="J153" s="16" t="n">
        <x:v>26000</x:v>
      </x:c>
      <x:c r="K153" s="16" t="n">
        <x:v>66000</x:v>
      </x:c>
      <x:c r="L153" s="14" t="n">
        <x:f>SUM(I153:K153)</x:f>
        <x:v>144000</x:v>
      </x:c>
      <x:c r="M153" s="14" t="n">
        <x:f>H153-L153</x:f>
        <x:v>561000</x:v>
      </x:c>
    </x:row>
    <x:row r="154">
      <x:c r="A154" t="str">
        <x:v>T0153</x:v>
      </x:c>
      <x:c r="B154" t="n">
        <x:v>3</x:v>
      </x:c>
      <x:c r="C154" t="str">
        <x:v>C037</x:v>
      </x:c>
      <x:c r="D154" t="str">
        <x:v>TRN</x:v>
      </x:c>
      <x:c r="E154" t="str">
        <x:v>Q1</x:v>
      </x:c>
      <x:c r="F154" t="str">
        <x:v>継続契約</x:v>
      </x:c>
      <x:c r="G154" t="str">
        <x:v>研修プログラム</x:v>
      </x:c>
      <x:c r="H154" s="16" t="n">
        <x:v>502000</x:v>
      </x:c>
      <x:c r="I154" s="16" t="n">
        <x:v>35000</x:v>
      </x:c>
      <x:c r="J154" s="16" t="n">
        <x:v>17000</x:v>
      </x:c>
      <x:c r="K154" s="16" t="n">
        <x:v>45000</x:v>
      </x:c>
      <x:c r="L154" s="14" t="n">
        <x:f>SUM(I154:K154)</x:f>
        <x:v>97000</x:v>
      </x:c>
      <x:c r="M154" s="14" t="n">
        <x:f>H154-L154</x:f>
        <x:v>405000</x:v>
      </x:c>
    </x:row>
    <x:row r="155">
      <x:c r="A155" t="str">
        <x:v>T0154</x:v>
      </x:c>
      <x:c r="B155" t="n">
        <x:v>3</x:v>
      </x:c>
      <x:c r="C155" t="str">
        <x:v>C038</x:v>
      </x:c>
      <x:c r="D155" t="str">
        <x:v>TRN</x:v>
      </x:c>
      <x:c r="E155" t="str">
        <x:v>Q1</x:v>
      </x:c>
      <x:c r="F155" t="str">
        <x:v>継続契約</x:v>
      </x:c>
      <x:c r="G155" t="str">
        <x:v>研修プログラム</x:v>
      </x:c>
      <x:c r="H155" s="16" t="n">
        <x:v>1001000</x:v>
      </x:c>
      <x:c r="I155" s="16" t="n">
        <x:v>41000</x:v>
      </x:c>
      <x:c r="J155" s="16" t="n">
        <x:v>21000</x:v>
      </x:c>
      <x:c r="K155" s="16" t="n">
        <x:v>53000</x:v>
      </x:c>
      <x:c r="L155" s="14" t="n">
        <x:f>SUM(I155:K155)</x:f>
        <x:v>115000</x:v>
      </x:c>
      <x:c r="M155" s="14" t="n">
        <x:f>H155-L155</x:f>
        <x:v>886000</x:v>
      </x:c>
    </x:row>
    <x:row r="156">
      <x:c r="A156" t="str">
        <x:v>T0155</x:v>
      </x:c>
      <x:c r="B156" t="n">
        <x:v>3</x:v>
      </x:c>
      <x:c r="C156" t="str">
        <x:v>C039</x:v>
      </x:c>
      <x:c r="D156" t="str">
        <x:v>TRN</x:v>
      </x:c>
      <x:c r="E156" t="str">
        <x:v>Q1</x:v>
      </x:c>
      <x:c r="F156" t="str">
        <x:v>継続契約</x:v>
      </x:c>
      <x:c r="G156" t="str">
        <x:v>研修プログラム</x:v>
      </x:c>
      <x:c r="H156" s="16" t="n">
        <x:v>1086000</x:v>
      </x:c>
      <x:c r="I156" s="16" t="n">
        <x:v>69000</x:v>
      </x:c>
      <x:c r="J156" s="16" t="n">
        <x:v>34000</x:v>
      </x:c>
      <x:c r="K156" s="16" t="n">
        <x:v>88000</x:v>
      </x:c>
      <x:c r="L156" s="14" t="n">
        <x:f>SUM(I156:K156)</x:f>
        <x:v>191000</x:v>
      </x:c>
      <x:c r="M156" s="14" t="n">
        <x:f>H156-L156</x:f>
        <x:v>895000</x:v>
      </x:c>
    </x:row>
    <x:row r="157">
      <x:c r="A157" t="str">
        <x:v>T0156</x:v>
      </x:c>
      <x:c r="B157" t="n">
        <x:v>3</x:v>
      </x:c>
      <x:c r="C157" t="str">
        <x:v>C040</x:v>
      </x:c>
      <x:c r="D157" t="str">
        <x:v>TRN</x:v>
      </x:c>
      <x:c r="E157" t="str">
        <x:v>Q1</x:v>
      </x:c>
      <x:c r="F157" t="str">
        <x:v>スポット中心</x:v>
      </x:c>
      <x:c r="G157" t="str">
        <x:v>研修プログラム</x:v>
      </x:c>
      <x:c r="H157" s="16" t="n">
        <x:v>490000</x:v>
      </x:c>
      <x:c r="I157" s="16" t="n">
        <x:v>24000</x:v>
      </x:c>
      <x:c r="J157" s="16" t="n">
        <x:v>12000</x:v>
      </x:c>
      <x:c r="K157" s="16" t="n">
        <x:v>31000</x:v>
      </x:c>
      <x:c r="L157" s="14" t="n">
        <x:f>SUM(I157:K157)</x:f>
        <x:v>67000</x:v>
      </x:c>
      <x:c r="M157" s="14" t="n">
        <x:f>H157-L157</x:f>
        <x:v>423000</x:v>
      </x:c>
    </x:row>
    <x:row r="158">
      <x:c r="A158" t="str">
        <x:v>T0157</x:v>
      </x:c>
      <x:c r="B158" t="n">
        <x:v>3</x:v>
      </x:c>
      <x:c r="C158" t="str">
        <x:v>C040</x:v>
      </x:c>
      <x:c r="D158" t="str">
        <x:v>TRN</x:v>
      </x:c>
      <x:c r="E158" t="str">
        <x:v>Q1</x:v>
      </x:c>
      <x:c r="F158" t="str">
        <x:v>スポット中心</x:v>
      </x:c>
      <x:c r="G158" t="str">
        <x:v>研修プログラム</x:v>
      </x:c>
      <x:c r="H158" s="16" t="n">
        <x:v>627000</x:v>
      </x:c>
      <x:c r="I158" s="16" t="n">
        <x:v>28000</x:v>
      </x:c>
      <x:c r="J158" s="16" t="n">
        <x:v>14000</x:v>
      </x:c>
      <x:c r="K158" s="16" t="n">
        <x:v>36000</x:v>
      </x:c>
      <x:c r="L158" s="14" t="n">
        <x:f>SUM(I158:K158)</x:f>
        <x:v>78000</x:v>
      </x:c>
      <x:c r="M158" s="14" t="n">
        <x:f>H158-L158</x:f>
        <x:v>549000</x:v>
      </x:c>
    </x:row>
    <x:row r="159">
      <x:c r="A159" t="str">
        <x:v>T0158</x:v>
      </x:c>
      <x:c r="B159" t="n">
        <x:v>3</x:v>
      </x:c>
      <x:c r="C159" t="str">
        <x:v>C042</x:v>
      </x:c>
      <x:c r="D159" t="str">
        <x:v>TRN</x:v>
      </x:c>
      <x:c r="E159" t="str">
        <x:v>Q1</x:v>
      </x:c>
      <x:c r="F159" t="str">
        <x:v>継続契約</x:v>
      </x:c>
      <x:c r="G159" t="str">
        <x:v>研修プログラム</x:v>
      </x:c>
      <x:c r="H159" s="16" t="n">
        <x:v>1187000</x:v>
      </x:c>
      <x:c r="I159" s="16" t="n">
        <x:v>81000</x:v>
      </x:c>
      <x:c r="J159" s="16" t="n">
        <x:v>40000</x:v>
      </x:c>
      <x:c r="K159" s="16" t="n">
        <x:v>104000</x:v>
      </x:c>
      <x:c r="L159" s="14" t="n">
        <x:f>SUM(I159:K159)</x:f>
        <x:v>225000</x:v>
      </x:c>
      <x:c r="M159" s="14" t="n">
        <x:f>H159-L159</x:f>
        <x:v>962000</x:v>
      </x:c>
    </x:row>
    <x:row r="160">
      <x:c r="A160" t="str">
        <x:v>T0159</x:v>
      </x:c>
      <x:c r="B160" t="n">
        <x:v>3</x:v>
      </x:c>
      <x:c r="C160" t="str">
        <x:v>C043</x:v>
      </x:c>
      <x:c r="D160" t="str">
        <x:v>TRN</x:v>
      </x:c>
      <x:c r="E160" t="str">
        <x:v>Q1</x:v>
      </x:c>
      <x:c r="F160" t="str">
        <x:v>継続契約</x:v>
      </x:c>
      <x:c r="G160" t="str">
        <x:v>研修プログラム</x:v>
      </x:c>
      <x:c r="H160" s="16" t="n">
        <x:v>1107000</x:v>
      </x:c>
      <x:c r="I160" s="16" t="n">
        <x:v>90000</x:v>
      </x:c>
      <x:c r="J160" s="16" t="n">
        <x:v>45000</x:v>
      </x:c>
      <x:c r="K160" s="16" t="n">
        <x:v>114000</x:v>
      </x:c>
      <x:c r="L160" s="14" t="n">
        <x:f>SUM(I160:K160)</x:f>
        <x:v>249000</x:v>
      </x:c>
      <x:c r="M160" s="14" t="n">
        <x:f>H160-L160</x:f>
        <x:v>858000</x:v>
      </x:c>
    </x:row>
    <x:row r="161">
      <x:c r="A161" t="str">
        <x:v>T0160</x:v>
      </x:c>
      <x:c r="B161" t="n">
        <x:v>3</x:v>
      </x:c>
      <x:c r="C161" t="str">
        <x:v>C044</x:v>
      </x:c>
      <x:c r="D161" t="str">
        <x:v>TRN</x:v>
      </x:c>
      <x:c r="E161" t="str">
        <x:v>Q1</x:v>
      </x:c>
      <x:c r="F161" t="str">
        <x:v>継続契約</x:v>
      </x:c>
      <x:c r="G161" t="str">
        <x:v>研修プログラム</x:v>
      </x:c>
      <x:c r="H161" s="16" t="n">
        <x:v>865000</x:v>
      </x:c>
      <x:c r="I161" s="16" t="n">
        <x:v>58000</x:v>
      </x:c>
      <x:c r="J161" s="16" t="n">
        <x:v>29000</x:v>
      </x:c>
      <x:c r="K161" s="16" t="n">
        <x:v>75000</x:v>
      </x:c>
      <x:c r="L161" s="14" t="n">
        <x:f>SUM(I161:K161)</x:f>
        <x:v>162000</x:v>
      </x:c>
      <x:c r="M161" s="14" t="n">
        <x:f>H161-L161</x:f>
        <x:v>703000</x:v>
      </x:c>
    </x:row>
    <x:row r="162">
      <x:c r="A162" t="str">
        <x:v>T0161</x:v>
      </x:c>
      <x:c r="B162" t="n">
        <x:v>3</x:v>
      </x:c>
      <x:c r="C162" t="str">
        <x:v>C044</x:v>
      </x:c>
      <x:c r="D162" t="str">
        <x:v>TRN</x:v>
      </x:c>
      <x:c r="E162" t="str">
        <x:v>Q1</x:v>
      </x:c>
      <x:c r="F162" t="str">
        <x:v>継続契約</x:v>
      </x:c>
      <x:c r="G162" t="str">
        <x:v>研修プログラム</x:v>
      </x:c>
      <x:c r="H162" s="16" t="n">
        <x:v>558000</x:v>
      </x:c>
      <x:c r="I162" s="16" t="n">
        <x:v>42000</x:v>
      </x:c>
      <x:c r="J162" s="16" t="n">
        <x:v>21000</x:v>
      </x:c>
      <x:c r="K162" s="16" t="n">
        <x:v>55000</x:v>
      </x:c>
      <x:c r="L162" s="14" t="n">
        <x:f>SUM(I162:K162)</x:f>
        <x:v>118000</x:v>
      </x:c>
      <x:c r="M162" s="14" t="n">
        <x:f>H162-L162</x:f>
        <x:v>440000</x:v>
      </x:c>
    </x:row>
    <x:row r="163">
      <x:c r="A163" t="str">
        <x:v>T0162</x:v>
      </x:c>
      <x:c r="B163" t="n">
        <x:v>4</x:v>
      </x:c>
      <x:c r="C163" t="str">
        <x:v>C003</x:v>
      </x:c>
      <x:c r="D163" t="str">
        <x:v>IT</x:v>
      </x:c>
      <x:c r="E163" t="str">
        <x:v>Q2</x:v>
      </x:c>
      <x:c r="F163" t="str">
        <x:v>継続契約</x:v>
      </x:c>
      <x:c r="G163" t="str">
        <x:v>導入・運用支援</x:v>
      </x:c>
      <x:c r="H163" s="16" t="n">
        <x:v>2381000</x:v>
      </x:c>
      <x:c r="I163" s="16" t="n">
        <x:v>528000</x:v>
      </x:c>
      <x:c r="J163" s="16" t="n">
        <x:v>336000</x:v>
      </x:c>
      <x:c r="K163" s="16" t="n">
        <x:v>96000</x:v>
      </x:c>
      <x:c r="L163" s="14" t="n">
        <x:f>SUM(I163:K163)</x:f>
        <x:v>960000</x:v>
      </x:c>
      <x:c r="M163" s="14" t="n">
        <x:f>H163-L163</x:f>
        <x:v>1421000</x:v>
      </x:c>
    </x:row>
    <x:row r="164">
      <x:c r="A164" t="str">
        <x:v>T0163</x:v>
      </x:c>
      <x:c r="B164" t="n">
        <x:v>4</x:v>
      </x:c>
      <x:c r="C164" t="str">
        <x:v>C004</x:v>
      </x:c>
      <x:c r="D164" t="str">
        <x:v>IT</x:v>
      </x:c>
      <x:c r="E164" t="str">
        <x:v>Q2</x:v>
      </x:c>
      <x:c r="F164" t="str">
        <x:v>継続契約</x:v>
      </x:c>
      <x:c r="G164" t="str">
        <x:v>導入・運用支援</x:v>
      </x:c>
      <x:c r="H164" s="16" t="n">
        <x:v>1417000</x:v>
      </x:c>
      <x:c r="I164" s="16" t="n">
        <x:v>280000</x:v>
      </x:c>
      <x:c r="J164" s="16" t="n">
        <x:v>178000</x:v>
      </x:c>
      <x:c r="K164" s="16" t="n">
        <x:v>51000</x:v>
      </x:c>
      <x:c r="L164" s="14" t="n">
        <x:f>SUM(I164:K164)</x:f>
        <x:v>509000</x:v>
      </x:c>
      <x:c r="M164" s="14" t="n">
        <x:f>H164-L164</x:f>
        <x:v>908000</x:v>
      </x:c>
    </x:row>
    <x:row r="165">
      <x:c r="A165" t="str">
        <x:v>T0164</x:v>
      </x:c>
      <x:c r="B165" t="n">
        <x:v>4</x:v>
      </x:c>
      <x:c r="C165" t="str">
        <x:v>C006</x:v>
      </x:c>
      <x:c r="D165" t="str">
        <x:v>IT</x:v>
      </x:c>
      <x:c r="E165" t="str">
        <x:v>Q2</x:v>
      </x:c>
      <x:c r="F165" t="str">
        <x:v>継続契約</x:v>
      </x:c>
      <x:c r="G165" t="str">
        <x:v>導入・運用支援</x:v>
      </x:c>
      <x:c r="H165" s="16" t="n">
        <x:v>876000</x:v>
      </x:c>
      <x:c r="I165" s="16" t="n">
        <x:v>151000</x:v>
      </x:c>
      <x:c r="J165" s="16" t="n">
        <x:v>96000</x:v>
      </x:c>
      <x:c r="K165" s="16" t="n">
        <x:v>27000</x:v>
      </x:c>
      <x:c r="L165" s="14" t="n">
        <x:f>SUM(I165:K165)</x:f>
        <x:v>274000</x:v>
      </x:c>
      <x:c r="M165" s="14" t="n">
        <x:f>H165-L165</x:f>
        <x:v>602000</x:v>
      </x:c>
    </x:row>
    <x:row r="166">
      <x:c r="A166" t="str">
        <x:v>T0165</x:v>
      </x:c>
      <x:c r="B166" t="n">
        <x:v>4</x:v>
      </x:c>
      <x:c r="C166" t="str">
        <x:v>C007</x:v>
      </x:c>
      <x:c r="D166" t="str">
        <x:v>IT</x:v>
      </x:c>
      <x:c r="E166" t="str">
        <x:v>Q2</x:v>
      </x:c>
      <x:c r="F166" t="str">
        <x:v>継続契約</x:v>
      </x:c>
      <x:c r="G166" t="str">
        <x:v>導入・運用支援</x:v>
      </x:c>
      <x:c r="H166" s="16" t="n">
        <x:v>670000</x:v>
      </x:c>
      <x:c r="I166" s="16" t="n">
        <x:v>140000</x:v>
      </x:c>
      <x:c r="J166" s="16" t="n">
        <x:v>89000</x:v>
      </x:c>
      <x:c r="K166" s="16" t="n">
        <x:v>25000</x:v>
      </x:c>
      <x:c r="L166" s="14" t="n">
        <x:f>SUM(I166:K166)</x:f>
        <x:v>254000</x:v>
      </x:c>
      <x:c r="M166" s="14" t="n">
        <x:f>H166-L166</x:f>
        <x:v>416000</x:v>
      </x:c>
    </x:row>
    <x:row r="167">
      <x:c r="A167" t="str">
        <x:v>T0166</x:v>
      </x:c>
      <x:c r="B167" t="n">
        <x:v>4</x:v>
      </x:c>
      <x:c r="C167" t="str">
        <x:v>C007</x:v>
      </x:c>
      <x:c r="D167" t="str">
        <x:v>IT</x:v>
      </x:c>
      <x:c r="E167" t="str">
        <x:v>Q2</x:v>
      </x:c>
      <x:c r="F167" t="str">
        <x:v>継続契約</x:v>
      </x:c>
      <x:c r="G167" t="str">
        <x:v>導入・運用支援</x:v>
      </x:c>
      <x:c r="H167" s="16" t="n">
        <x:v>540000</x:v>
      </x:c>
      <x:c r="I167" s="16" t="n">
        <x:v>110000</x:v>
      </x:c>
      <x:c r="J167" s="16" t="n">
        <x:v>70000</x:v>
      </x:c>
      <x:c r="K167" s="16" t="n">
        <x:v>20000</x:v>
      </x:c>
      <x:c r="L167" s="14" t="n">
        <x:f>SUM(I167:K167)</x:f>
        <x:v>200000</x:v>
      </x:c>
      <x:c r="M167" s="14" t="n">
        <x:f>H167-L167</x:f>
        <x:v>340000</x:v>
      </x:c>
    </x:row>
    <x:row r="168">
      <x:c r="A168" t="str">
        <x:v>T0167</x:v>
      </x:c>
      <x:c r="B168" t="n">
        <x:v>4</x:v>
      </x:c>
      <x:c r="C168" t="str">
        <x:v>C008</x:v>
      </x:c>
      <x:c r="D168" t="str">
        <x:v>IT</x:v>
      </x:c>
      <x:c r="E168" t="str">
        <x:v>Q2</x:v>
      </x:c>
      <x:c r="F168" t="str">
        <x:v>継続契約</x:v>
      </x:c>
      <x:c r="G168" t="str">
        <x:v>導入・運用支援</x:v>
      </x:c>
      <x:c r="H168" s="16" t="n">
        <x:v>1099000</x:v>
      </x:c>
      <x:c r="I168" s="16" t="n">
        <x:v>222000</x:v>
      </x:c>
      <x:c r="J168" s="16" t="n">
        <x:v>141000</x:v>
      </x:c>
      <x:c r="K168" s="16" t="n">
        <x:v>40000</x:v>
      </x:c>
      <x:c r="L168" s="14" t="n">
        <x:f>SUM(I168:K168)</x:f>
        <x:v>403000</x:v>
      </x:c>
      <x:c r="M168" s="14" t="n">
        <x:f>H168-L168</x:f>
        <x:v>696000</x:v>
      </x:c>
    </x:row>
    <x:row r="169">
      <x:c r="A169" t="str">
        <x:v>T0168</x:v>
      </x:c>
      <x:c r="B169" t="n">
        <x:v>4</x:v>
      </x:c>
      <x:c r="C169" t="str">
        <x:v>C009</x:v>
      </x:c>
      <x:c r="D169" t="str">
        <x:v>IT</x:v>
      </x:c>
      <x:c r="E169" t="str">
        <x:v>Q2</x:v>
      </x:c>
      <x:c r="F169" t="str">
        <x:v>継続契約</x:v>
      </x:c>
      <x:c r="G169" t="str">
        <x:v>導入・運用支援</x:v>
      </x:c>
      <x:c r="H169" s="16" t="n">
        <x:v>1528000</x:v>
      </x:c>
      <x:c r="I169" s="16" t="n">
        <x:v>288000</x:v>
      </x:c>
      <x:c r="J169" s="16" t="n">
        <x:v>183000</x:v>
      </x:c>
      <x:c r="K169" s="16" t="n">
        <x:v>53000</x:v>
      </x:c>
      <x:c r="L169" s="14" t="n">
        <x:f>SUM(I169:K169)</x:f>
        <x:v>524000</x:v>
      </x:c>
      <x:c r="M169" s="14" t="n">
        <x:f>H169-L169</x:f>
        <x:v>1004000</x:v>
      </x:c>
    </x:row>
    <x:row r="170">
      <x:c r="A170" t="str">
        <x:v>T0169</x:v>
      </x:c>
      <x:c r="B170" t="n">
        <x:v>4</x:v>
      </x:c>
      <x:c r="C170" t="str">
        <x:v>C011</x:v>
      </x:c>
      <x:c r="D170" t="str">
        <x:v>IT</x:v>
      </x:c>
      <x:c r="E170" t="str">
        <x:v>Q2</x:v>
      </x:c>
      <x:c r="F170" t="str">
        <x:v>継続契約</x:v>
      </x:c>
      <x:c r="G170" t="str">
        <x:v>導入・運用支援</x:v>
      </x:c>
      <x:c r="H170" s="16" t="n">
        <x:v>1424000</x:v>
      </x:c>
      <x:c r="I170" s="16" t="n">
        <x:v>229000</x:v>
      </x:c>
      <x:c r="J170" s="16" t="n">
        <x:v>146000</x:v>
      </x:c>
      <x:c r="K170" s="16" t="n">
        <x:v>41000</x:v>
      </x:c>
      <x:c r="L170" s="14" t="n">
        <x:f>SUM(I170:K170)</x:f>
        <x:v>416000</x:v>
      </x:c>
      <x:c r="M170" s="14" t="n">
        <x:f>H170-L170</x:f>
        <x:v>1008000</x:v>
      </x:c>
    </x:row>
    <x:row r="171">
      <x:c r="A171" t="str">
        <x:v>T0170</x:v>
      </x:c>
      <x:c r="B171" t="n">
        <x:v>4</x:v>
      </x:c>
      <x:c r="C171" t="str">
        <x:v>C012</x:v>
      </x:c>
      <x:c r="D171" t="str">
        <x:v>IT</x:v>
      </x:c>
      <x:c r="E171" t="str">
        <x:v>Q2</x:v>
      </x:c>
      <x:c r="F171" t="str">
        <x:v>継続契約</x:v>
      </x:c>
      <x:c r="G171" t="str">
        <x:v>導入・運用支援</x:v>
      </x:c>
      <x:c r="H171" s="16" t="n">
        <x:v>516000</x:v>
      </x:c>
      <x:c r="I171" s="16" t="n">
        <x:v>111000</x:v>
      </x:c>
      <x:c r="J171" s="16" t="n">
        <x:v>71000</x:v>
      </x:c>
      <x:c r="K171" s="16" t="n">
        <x:v>20000</x:v>
      </x:c>
      <x:c r="L171" s="14" t="n">
        <x:f>SUM(I171:K171)</x:f>
        <x:v>202000</x:v>
      </x:c>
      <x:c r="M171" s="14" t="n">
        <x:f>H171-L171</x:f>
        <x:v>314000</x:v>
      </x:c>
    </x:row>
    <x:row r="172">
      <x:c r="A172" t="str">
        <x:v>T0171</x:v>
      </x:c>
      <x:c r="B172" t="n">
        <x:v>4</x:v>
      </x:c>
      <x:c r="C172" t="str">
        <x:v>C012</x:v>
      </x:c>
      <x:c r="D172" t="str">
        <x:v>IT</x:v>
      </x:c>
      <x:c r="E172" t="str">
        <x:v>Q2</x:v>
      </x:c>
      <x:c r="F172" t="str">
        <x:v>継続契約</x:v>
      </x:c>
      <x:c r="G172" t="str">
        <x:v>導入・運用支援</x:v>
      </x:c>
      <x:c r="H172" s="16" t="n">
        <x:v>656000</x:v>
      </x:c>
      <x:c r="I172" s="16" t="n">
        <x:v>107000</x:v>
      </x:c>
      <x:c r="J172" s="16" t="n">
        <x:v>68000</x:v>
      </x:c>
      <x:c r="K172" s="16" t="n">
        <x:v>19000</x:v>
      </x:c>
      <x:c r="L172" s="14" t="n">
        <x:f>SUM(I172:K172)</x:f>
        <x:v>194000</x:v>
      </x:c>
      <x:c r="M172" s="14" t="n">
        <x:f>H172-L172</x:f>
        <x:v>462000</x:v>
      </x:c>
    </x:row>
    <x:row r="173">
      <x:c r="A173" t="str">
        <x:v>T0172</x:v>
      </x:c>
      <x:c r="B173" t="n">
        <x:v>4</x:v>
      </x:c>
      <x:c r="C173" t="str">
        <x:v>C014</x:v>
      </x:c>
      <x:c r="D173" t="str">
        <x:v>IT</x:v>
      </x:c>
      <x:c r="E173" t="str">
        <x:v>Q2</x:v>
      </x:c>
      <x:c r="F173" t="str">
        <x:v>継続契約</x:v>
      </x:c>
      <x:c r="G173" t="str">
        <x:v>導入・運用支援</x:v>
      </x:c>
      <x:c r="H173" s="16" t="n">
        <x:v>455000</x:v>
      </x:c>
      <x:c r="I173" s="16" t="n">
        <x:v>79000</x:v>
      </x:c>
      <x:c r="J173" s="16" t="n">
        <x:v>50000</x:v>
      </x:c>
      <x:c r="K173" s="16" t="n">
        <x:v>14000</x:v>
      </x:c>
      <x:c r="L173" s="14" t="n">
        <x:f>SUM(I173:K173)</x:f>
        <x:v>143000</x:v>
      </x:c>
      <x:c r="M173" s="14" t="n">
        <x:f>H173-L173</x:f>
        <x:v>312000</x:v>
      </x:c>
    </x:row>
    <x:row r="174">
      <x:c r="A174" t="str">
        <x:v>T0173</x:v>
      </x:c>
      <x:c r="B174" t="n">
        <x:v>4</x:v>
      </x:c>
      <x:c r="C174" t="str">
        <x:v>C014</x:v>
      </x:c>
      <x:c r="D174" t="str">
        <x:v>IT</x:v>
      </x:c>
      <x:c r="E174" t="str">
        <x:v>Q2</x:v>
      </x:c>
      <x:c r="F174" t="str">
        <x:v>継続契約</x:v>
      </x:c>
      <x:c r="G174" t="str">
        <x:v>導入・運用支援</x:v>
      </x:c>
      <x:c r="H174" s="16" t="n">
        <x:v>749000</x:v>
      </x:c>
      <x:c r="I174" s="16" t="n">
        <x:v>147000</x:v>
      </x:c>
      <x:c r="J174" s="16" t="n">
        <x:v>94000</x:v>
      </x:c>
      <x:c r="K174" s="16" t="n">
        <x:v>27000</x:v>
      </x:c>
      <x:c r="L174" s="14" t="n">
        <x:f>SUM(I174:K174)</x:f>
        <x:v>268000</x:v>
      </x:c>
      <x:c r="M174" s="14" t="n">
        <x:f>H174-L174</x:f>
        <x:v>481000</x:v>
      </x:c>
    </x:row>
    <x:row r="175">
      <x:c r="A175" t="str">
        <x:v>T0174</x:v>
      </x:c>
      <x:c r="B175" t="n">
        <x:v>4</x:v>
      </x:c>
      <x:c r="C175" t="str">
        <x:v>C017</x:v>
      </x:c>
      <x:c r="D175" t="str">
        <x:v>IT</x:v>
      </x:c>
      <x:c r="E175" t="str">
        <x:v>Q2</x:v>
      </x:c>
      <x:c r="F175" t="str">
        <x:v>継続契約</x:v>
      </x:c>
      <x:c r="G175" t="str">
        <x:v>導入・運用支援</x:v>
      </x:c>
      <x:c r="H175" s="16" t="n">
        <x:v>939000</x:v>
      </x:c>
      <x:c r="I175" s="16" t="n">
        <x:v>199000</x:v>
      </x:c>
      <x:c r="J175" s="16" t="n">
        <x:v>127000</x:v>
      </x:c>
      <x:c r="K175" s="16" t="n">
        <x:v>36000</x:v>
      </x:c>
      <x:c r="L175" s="14" t="n">
        <x:f>SUM(I175:K175)</x:f>
        <x:v>362000</x:v>
      </x:c>
      <x:c r="M175" s="14" t="n">
        <x:f>H175-L175</x:f>
        <x:v>577000</x:v>
      </x:c>
    </x:row>
    <x:row r="176">
      <x:c r="A176" t="str">
        <x:v>T0175</x:v>
      </x:c>
      <x:c r="B176" t="n">
        <x:v>4</x:v>
      </x:c>
      <x:c r="C176" t="str">
        <x:v>C018</x:v>
      </x:c>
      <x:c r="D176" t="str">
        <x:v>IT</x:v>
      </x:c>
      <x:c r="E176" t="str">
        <x:v>Q2</x:v>
      </x:c>
      <x:c r="F176" t="str">
        <x:v>継続契約</x:v>
      </x:c>
      <x:c r="G176" t="str">
        <x:v>導入・運用支援</x:v>
      </x:c>
      <x:c r="H176" s="16" t="n">
        <x:v>793000</x:v>
      </x:c>
      <x:c r="I176" s="16" t="n">
        <x:v>129000</x:v>
      </x:c>
      <x:c r="J176" s="16" t="n">
        <x:v>82000</x:v>
      </x:c>
      <x:c r="K176" s="16" t="n">
        <x:v>23000</x:v>
      </x:c>
      <x:c r="L176" s="14" t="n">
        <x:f>SUM(I176:K176)</x:f>
        <x:v>234000</x:v>
      </x:c>
      <x:c r="M176" s="14" t="n">
        <x:f>H176-L176</x:f>
        <x:v>559000</x:v>
      </x:c>
    </x:row>
    <x:row r="177">
      <x:c r="A177" t="str">
        <x:v>T0176</x:v>
      </x:c>
      <x:c r="B177" t="n">
        <x:v>4</x:v>
      </x:c>
      <x:c r="C177" t="str">
        <x:v>C018</x:v>
      </x:c>
      <x:c r="D177" t="str">
        <x:v>IT</x:v>
      </x:c>
      <x:c r="E177" t="str">
        <x:v>Q2</x:v>
      </x:c>
      <x:c r="F177" t="str">
        <x:v>継続契約</x:v>
      </x:c>
      <x:c r="G177" t="str">
        <x:v>導入・運用支援</x:v>
      </x:c>
      <x:c r="H177" s="16" t="n">
        <x:v>746000</x:v>
      </x:c>
      <x:c r="I177" s="16" t="n">
        <x:v>153000</x:v>
      </x:c>
      <x:c r="J177" s="16" t="n">
        <x:v>97000</x:v>
      </x:c>
      <x:c r="K177" s="16" t="n">
        <x:v>28000</x:v>
      </x:c>
      <x:c r="L177" s="14" t="n">
        <x:f>SUM(I177:K177)</x:f>
        <x:v>278000</x:v>
      </x:c>
      <x:c r="M177" s="14" t="n">
        <x:f>H177-L177</x:f>
        <x:v>468000</x:v>
      </x:c>
    </x:row>
    <x:row r="178">
      <x:c r="A178" t="str">
        <x:v>T0177</x:v>
      </x:c>
      <x:c r="B178" t="n">
        <x:v>4</x:v>
      </x:c>
      <x:c r="C178" t="str">
        <x:v>C019</x:v>
      </x:c>
      <x:c r="D178" t="str">
        <x:v>BPO</x:v>
      </x:c>
      <x:c r="E178" t="str">
        <x:v>Q2</x:v>
      </x:c>
      <x:c r="F178" t="str">
        <x:v>継続契約</x:v>
      </x:c>
      <x:c r="G178" t="str">
        <x:v>業務運用代行</x:v>
      </x:c>
      <x:c r="H178" s="16" t="n">
        <x:v>3642000</x:v>
      </x:c>
      <x:c r="I178" s="16" t="n">
        <x:v>605000</x:v>
      </x:c>
      <x:c r="J178" s="16" t="n">
        <x:v>103000</x:v>
      </x:c>
      <x:c r="K178" s="16" t="n">
        <x:v>88000</x:v>
      </x:c>
      <x:c r="L178" s="14" t="n">
        <x:f>SUM(I178:K178)</x:f>
        <x:v>796000</x:v>
      </x:c>
      <x:c r="M178" s="14" t="n">
        <x:f>H178-L178</x:f>
        <x:v>2846000</x:v>
      </x:c>
    </x:row>
    <x:row r="179">
      <x:c r="A179" t="str">
        <x:v>T0178</x:v>
      </x:c>
      <x:c r="B179" t="n">
        <x:v>4</x:v>
      </x:c>
      <x:c r="C179" t="str">
        <x:v>C020</x:v>
      </x:c>
      <x:c r="D179" t="str">
        <x:v>BPO</x:v>
      </x:c>
      <x:c r="E179" t="str">
        <x:v>Q2</x:v>
      </x:c>
      <x:c r="F179" t="str">
        <x:v>継続契約</x:v>
      </x:c>
      <x:c r="G179" t="str">
        <x:v>業務運用代行</x:v>
      </x:c>
      <x:c r="H179" s="16" t="n">
        <x:v>2819000</x:v>
      </x:c>
      <x:c r="I179" s="16" t="n">
        <x:v>564000</x:v>
      </x:c>
      <x:c r="J179" s="16" t="n">
        <x:v>96000</x:v>
      </x:c>
      <x:c r="K179" s="16" t="n">
        <x:v>82000</x:v>
      </x:c>
      <x:c r="L179" s="14" t="n">
        <x:f>SUM(I179:K179)</x:f>
        <x:v>742000</x:v>
      </x:c>
      <x:c r="M179" s="14" t="n">
        <x:f>H179-L179</x:f>
        <x:v>2077000</x:v>
      </x:c>
    </x:row>
    <x:row r="180">
      <x:c r="A180" t="str">
        <x:v>T0179</x:v>
      </x:c>
      <x:c r="B180" t="n">
        <x:v>4</x:v>
      </x:c>
      <x:c r="C180" t="str">
        <x:v>C021</x:v>
      </x:c>
      <x:c r="D180" t="str">
        <x:v>BPO</x:v>
      </x:c>
      <x:c r="E180" t="str">
        <x:v>Q2</x:v>
      </x:c>
      <x:c r="F180" t="str">
        <x:v>継続契約</x:v>
      </x:c>
      <x:c r="G180" t="str">
        <x:v>業務運用代行</x:v>
      </x:c>
      <x:c r="H180" s="16" t="n">
        <x:v>1466000</x:v>
      </x:c>
      <x:c r="I180" s="16" t="n">
        <x:v>291000</x:v>
      </x:c>
      <x:c r="J180" s="16" t="n">
        <x:v>50000</x:v>
      </x:c>
      <x:c r="K180" s="16" t="n">
        <x:v>42000</x:v>
      </x:c>
      <x:c r="L180" s="14" t="n">
        <x:f>SUM(I180:K180)</x:f>
        <x:v>383000</x:v>
      </x:c>
      <x:c r="M180" s="14" t="n">
        <x:f>H180-L180</x:f>
        <x:v>1083000</x:v>
      </x:c>
    </x:row>
    <x:row r="181">
      <x:c r="A181" t="str">
        <x:v>T0180</x:v>
      </x:c>
      <x:c r="B181" t="n">
        <x:v>4</x:v>
      </x:c>
      <x:c r="C181" t="str">
        <x:v>C023</x:v>
      </x:c>
      <x:c r="D181" t="str">
        <x:v>BPO</x:v>
      </x:c>
      <x:c r="E181" t="str">
        <x:v>Q2</x:v>
      </x:c>
      <x:c r="F181" t="str">
        <x:v>継続契約</x:v>
      </x:c>
      <x:c r="G181" t="str">
        <x:v>業務運用代行</x:v>
      </x:c>
      <x:c r="H181" s="16" t="n">
        <x:v>517000</x:v>
      </x:c>
      <x:c r="I181" s="16" t="n">
        <x:v>94000</x:v>
      </x:c>
      <x:c r="J181" s="16" t="n">
        <x:v>16000</x:v>
      </x:c>
      <x:c r="K181" s="16" t="n">
        <x:v>14000</x:v>
      </x:c>
      <x:c r="L181" s="14" t="n">
        <x:f>SUM(I181:K181)</x:f>
        <x:v>124000</x:v>
      </x:c>
      <x:c r="M181" s="14" t="n">
        <x:f>H181-L181</x:f>
        <x:v>393000</x:v>
      </x:c>
    </x:row>
    <x:row r="182">
      <x:c r="A182" t="str">
        <x:v>T0181</x:v>
      </x:c>
      <x:c r="B182" t="n">
        <x:v>4</x:v>
      </x:c>
      <x:c r="C182" t="str">
        <x:v>C023</x:v>
      </x:c>
      <x:c r="D182" t="str">
        <x:v>BPO</x:v>
      </x:c>
      <x:c r="E182" t="str">
        <x:v>Q2</x:v>
      </x:c>
      <x:c r="F182" t="str">
        <x:v>継続契約</x:v>
      </x:c>
      <x:c r="G182" t="str">
        <x:v>業務運用代行</x:v>
      </x:c>
      <x:c r="H182" s="16" t="n">
        <x:v>735000</x:v>
      </x:c>
      <x:c r="I182" s="16" t="n">
        <x:v>136000</x:v>
      </x:c>
      <x:c r="J182" s="16" t="n">
        <x:v>23000</x:v>
      </x:c>
      <x:c r="K182" s="16" t="n">
        <x:v>20000</x:v>
      </x:c>
      <x:c r="L182" s="14" t="n">
        <x:f>SUM(I182:K182)</x:f>
        <x:v>179000</x:v>
      </x:c>
      <x:c r="M182" s="14" t="n">
        <x:f>H182-L182</x:f>
        <x:v>556000</x:v>
      </x:c>
    </x:row>
    <x:row r="183">
      <x:c r="A183" t="str">
        <x:v>T0182</x:v>
      </x:c>
      <x:c r="B183" t="n">
        <x:v>4</x:v>
      </x:c>
      <x:c r="C183" t="str">
        <x:v>C026</x:v>
      </x:c>
      <x:c r="D183" t="str">
        <x:v>BPO</x:v>
      </x:c>
      <x:c r="E183" t="str">
        <x:v>Q2</x:v>
      </x:c>
      <x:c r="F183" t="str">
        <x:v>継続契約</x:v>
      </x:c>
      <x:c r="G183" t="str">
        <x:v>業務運用代行</x:v>
      </x:c>
      <x:c r="H183" s="16" t="n">
        <x:v>1114000</x:v>
      </x:c>
      <x:c r="I183" s="16" t="n">
        <x:v>209000</x:v>
      </x:c>
      <x:c r="J183" s="16" t="n">
        <x:v>36000</x:v>
      </x:c>
      <x:c r="K183" s="16" t="n">
        <x:v>30000</x:v>
      </x:c>
      <x:c r="L183" s="14" t="n">
        <x:f>SUM(I183:K183)</x:f>
        <x:v>275000</x:v>
      </x:c>
      <x:c r="M183" s="14" t="n">
        <x:f>H183-L183</x:f>
        <x:v>839000</x:v>
      </x:c>
    </x:row>
    <x:row r="184">
      <x:c r="A184" t="str">
        <x:v>T0183</x:v>
      </x:c>
      <x:c r="B184" t="n">
        <x:v>4</x:v>
      </x:c>
      <x:c r="C184" t="str">
        <x:v>C027</x:v>
      </x:c>
      <x:c r="D184" t="str">
        <x:v>BPO</x:v>
      </x:c>
      <x:c r="E184" t="str">
        <x:v>Q2</x:v>
      </x:c>
      <x:c r="F184" t="str">
        <x:v>継続契約</x:v>
      </x:c>
      <x:c r="G184" t="str">
        <x:v>業務運用代行</x:v>
      </x:c>
      <x:c r="H184" s="16" t="n">
        <x:v>580000</x:v>
      </x:c>
      <x:c r="I184" s="16" t="n">
        <x:v>124000</x:v>
      </x:c>
      <x:c r="J184" s="16" t="n">
        <x:v>21000</x:v>
      </x:c>
      <x:c r="K184" s="16" t="n">
        <x:v>18000</x:v>
      </x:c>
      <x:c r="L184" s="14" t="n">
        <x:f>SUM(I184:K184)</x:f>
        <x:v>163000</x:v>
      </x:c>
      <x:c r="M184" s="14" t="n">
        <x:f>H184-L184</x:f>
        <x:v>417000</x:v>
      </x:c>
    </x:row>
    <x:row r="185">
      <x:c r="A185" t="str">
        <x:v>T0184</x:v>
      </x:c>
      <x:c r="B185" t="n">
        <x:v>4</x:v>
      </x:c>
      <x:c r="C185" t="str">
        <x:v>C027</x:v>
      </x:c>
      <x:c r="D185" t="str">
        <x:v>BPO</x:v>
      </x:c>
      <x:c r="E185" t="str">
        <x:v>Q2</x:v>
      </x:c>
      <x:c r="F185" t="str">
        <x:v>継続契約</x:v>
      </x:c>
      <x:c r="G185" t="str">
        <x:v>業務運用代行</x:v>
      </x:c>
      <x:c r="H185" s="16" t="n">
        <x:v>486000</x:v>
      </x:c>
      <x:c r="I185" s="16" t="n">
        <x:v>97000</x:v>
      </x:c>
      <x:c r="J185" s="16" t="n">
        <x:v>17000</x:v>
      </x:c>
      <x:c r="K185" s="16" t="n">
        <x:v>14000</x:v>
      </x:c>
      <x:c r="L185" s="14" t="n">
        <x:f>SUM(I185:K185)</x:f>
        <x:v>128000</x:v>
      </x:c>
      <x:c r="M185" s="14" t="n">
        <x:f>H185-L185</x:f>
        <x:v>358000</x:v>
      </x:c>
    </x:row>
    <x:row r="186">
      <x:c r="A186" t="str">
        <x:v>T0185</x:v>
      </x:c>
      <x:c r="B186" t="n">
        <x:v>4</x:v>
      </x:c>
      <x:c r="C186" t="str">
        <x:v>C028</x:v>
      </x:c>
      <x:c r="D186" t="str">
        <x:v>BPO</x:v>
      </x:c>
      <x:c r="E186" t="str">
        <x:v>Q2</x:v>
      </x:c>
      <x:c r="F186" t="str">
        <x:v>継続契約</x:v>
      </x:c>
      <x:c r="G186" t="str">
        <x:v>業務運用代行</x:v>
      </x:c>
      <x:c r="H186" s="16" t="n">
        <x:v>489000</x:v>
      </x:c>
      <x:c r="I186" s="16" t="n">
        <x:v>98000</x:v>
      </x:c>
      <x:c r="J186" s="16" t="n">
        <x:v>17000</x:v>
      </x:c>
      <x:c r="K186" s="16" t="n">
        <x:v>14000</x:v>
      </x:c>
      <x:c r="L186" s="14" t="n">
        <x:f>SUM(I186:K186)</x:f>
        <x:v>129000</x:v>
      </x:c>
      <x:c r="M186" s="14" t="n">
        <x:f>H186-L186</x:f>
        <x:v>360000</x:v>
      </x:c>
    </x:row>
    <x:row r="187">
      <x:c r="A187" t="str">
        <x:v>T0186</x:v>
      </x:c>
      <x:c r="B187" t="n">
        <x:v>4</x:v>
      </x:c>
      <x:c r="C187" t="str">
        <x:v>C028</x:v>
      </x:c>
      <x:c r="D187" t="str">
        <x:v>BPO</x:v>
      </x:c>
      <x:c r="E187" t="str">
        <x:v>Q2</x:v>
      </x:c>
      <x:c r="F187" t="str">
        <x:v>継続契約</x:v>
      </x:c>
      <x:c r="G187" t="str">
        <x:v>業務運用代行</x:v>
      </x:c>
      <x:c r="H187" s="16" t="n">
        <x:v>510000</x:v>
      </x:c>
      <x:c r="I187" s="16" t="n">
        <x:v>104000</x:v>
      </x:c>
      <x:c r="J187" s="16" t="n">
        <x:v>18000</x:v>
      </x:c>
      <x:c r="K187" s="16" t="n">
        <x:v>15000</x:v>
      </x:c>
      <x:c r="L187" s="14" t="n">
        <x:f>SUM(I187:K187)</x:f>
        <x:v>137000</x:v>
      </x:c>
      <x:c r="M187" s="14" t="n">
        <x:f>H187-L187</x:f>
        <x:v>373000</x:v>
      </x:c>
    </x:row>
    <x:row r="188">
      <x:c r="A188" t="str">
        <x:v>T0187</x:v>
      </x:c>
      <x:c r="B188" t="n">
        <x:v>4</x:v>
      </x:c>
      <x:c r="C188" t="str">
        <x:v>C029</x:v>
      </x:c>
      <x:c r="D188" t="str">
        <x:v>BPO</x:v>
      </x:c>
      <x:c r="E188" t="str">
        <x:v>Q2</x:v>
      </x:c>
      <x:c r="F188" t="str">
        <x:v>継続契約</x:v>
      </x:c>
      <x:c r="G188" t="str">
        <x:v>業務運用代行</x:v>
      </x:c>
      <x:c r="H188" s="16" t="n">
        <x:v>1197000</x:v>
      </x:c>
      <x:c r="I188" s="16" t="n">
        <x:v>225000</x:v>
      </x:c>
      <x:c r="J188" s="16" t="n">
        <x:v>38000</x:v>
      </x:c>
      <x:c r="K188" s="16" t="n">
        <x:v>33000</x:v>
      </x:c>
      <x:c r="L188" s="14" t="n">
        <x:f>SUM(I188:K188)</x:f>
        <x:v>296000</x:v>
      </x:c>
      <x:c r="M188" s="14" t="n">
        <x:f>H188-L188</x:f>
        <x:v>901000</x:v>
      </x:c>
    </x:row>
    <x:row r="189">
      <x:c r="A189" t="str">
        <x:v>T0188</x:v>
      </x:c>
      <x:c r="B189" t="n">
        <x:v>4</x:v>
      </x:c>
      <x:c r="C189" t="str">
        <x:v>C030</x:v>
      </x:c>
      <x:c r="D189" t="str">
        <x:v>BPO</x:v>
      </x:c>
      <x:c r="E189" t="str">
        <x:v>Q2</x:v>
      </x:c>
      <x:c r="F189" t="str">
        <x:v>継続契約</x:v>
      </x:c>
      <x:c r="G189" t="str">
        <x:v>業務運用代行</x:v>
      </x:c>
      <x:c r="H189" s="16" t="n">
        <x:v>1519000</x:v>
      </x:c>
      <x:c r="I189" s="16" t="n">
        <x:v>306000</x:v>
      </x:c>
      <x:c r="J189" s="16" t="n">
        <x:v>52000</x:v>
      </x:c>
      <x:c r="K189" s="16" t="n">
        <x:v>44000</x:v>
      </x:c>
      <x:c r="L189" s="14" t="n">
        <x:f>SUM(I189:K189)</x:f>
        <x:v>402000</x:v>
      </x:c>
      <x:c r="M189" s="14" t="n">
        <x:f>H189-L189</x:f>
        <x:v>1117000</x:v>
      </x:c>
    </x:row>
    <x:row r="190">
      <x:c r="A190" t="str">
        <x:v>T0189</x:v>
      </x:c>
      <x:c r="B190" t="n">
        <x:v>4</x:v>
      </x:c>
      <x:c r="C190" t="str">
        <x:v>C031</x:v>
      </x:c>
      <x:c r="D190" t="str">
        <x:v>BPO</x:v>
      </x:c>
      <x:c r="E190" t="str">
        <x:v>Q2</x:v>
      </x:c>
      <x:c r="F190" t="str">
        <x:v>継続契約</x:v>
      </x:c>
      <x:c r="G190" t="str">
        <x:v>業務運用代行</x:v>
      </x:c>
      <x:c r="H190" s="16" t="n">
        <x:v>686000</x:v>
      </x:c>
      <x:c r="I190" s="16" t="n">
        <x:v>139000</x:v>
      </x:c>
      <x:c r="J190" s="16" t="n">
        <x:v>24000</x:v>
      </x:c>
      <x:c r="K190" s="16" t="n">
        <x:v>20000</x:v>
      </x:c>
      <x:c r="L190" s="14" t="n">
        <x:f>SUM(I190:K190)</x:f>
        <x:v>183000</x:v>
      </x:c>
      <x:c r="M190" s="14" t="n">
        <x:f>H190-L190</x:f>
        <x:v>503000</x:v>
      </x:c>
    </x:row>
    <x:row r="191">
      <x:c r="A191" t="str">
        <x:v>T0190</x:v>
      </x:c>
      <x:c r="B191" t="n">
        <x:v>4</x:v>
      </x:c>
      <x:c r="C191" t="str">
        <x:v>C031</x:v>
      </x:c>
      <x:c r="D191" t="str">
        <x:v>BPO</x:v>
      </x:c>
      <x:c r="E191" t="str">
        <x:v>Q2</x:v>
      </x:c>
      <x:c r="F191" t="str">
        <x:v>継続契約</x:v>
      </x:c>
      <x:c r="G191" t="str">
        <x:v>業務運用代行</x:v>
      </x:c>
      <x:c r="H191" s="16" t="n">
        <x:v>568000</x:v>
      </x:c>
      <x:c r="I191" s="16" t="n">
        <x:v>121000</x:v>
      </x:c>
      <x:c r="J191" s="16" t="n">
        <x:v>21000</x:v>
      </x:c>
      <x:c r="K191" s="16" t="n">
        <x:v>17000</x:v>
      </x:c>
      <x:c r="L191" s="14" t="n">
        <x:f>SUM(I191:K191)</x:f>
        <x:v>159000</x:v>
      </x:c>
      <x:c r="M191" s="14" t="n">
        <x:f>H191-L191</x:f>
        <x:v>409000</x:v>
      </x:c>
    </x:row>
    <x:row r="192">
      <x:c r="A192" t="str">
        <x:v>T0191</x:v>
      </x:c>
      <x:c r="B192" t="n">
        <x:v>4</x:v>
      </x:c>
      <x:c r="C192" t="str">
        <x:v>C032</x:v>
      </x:c>
      <x:c r="D192" t="str">
        <x:v>BPO</x:v>
      </x:c>
      <x:c r="E192" t="str">
        <x:v>Q2</x:v>
      </x:c>
      <x:c r="F192" t="str">
        <x:v>継続契約</x:v>
      </x:c>
      <x:c r="G192" t="str">
        <x:v>業務運用代行</x:v>
      </x:c>
      <x:c r="H192" s="16" t="n">
        <x:v>759000</x:v>
      </x:c>
      <x:c r="I192" s="16" t="n">
        <x:v>144000</x:v>
      </x:c>
      <x:c r="J192" s="16" t="n">
        <x:v>25000</x:v>
      </x:c>
      <x:c r="K192" s="16" t="n">
        <x:v>20000</x:v>
      </x:c>
      <x:c r="L192" s="14" t="n">
        <x:f>SUM(I192:K192)</x:f>
        <x:v>189000</x:v>
      </x:c>
      <x:c r="M192" s="14" t="n">
        <x:f>H192-L192</x:f>
        <x:v>570000</x:v>
      </x:c>
    </x:row>
    <x:row r="193">
      <x:c r="A193" t="str">
        <x:v>T0192</x:v>
      </x:c>
      <x:c r="B193" t="n">
        <x:v>4</x:v>
      </x:c>
      <x:c r="C193" t="str">
        <x:v>C032</x:v>
      </x:c>
      <x:c r="D193" t="str">
        <x:v>BPO</x:v>
      </x:c>
      <x:c r="E193" t="str">
        <x:v>Q2</x:v>
      </x:c>
      <x:c r="F193" t="str">
        <x:v>継続契約</x:v>
      </x:c>
      <x:c r="G193" t="str">
        <x:v>業務運用代行</x:v>
      </x:c>
      <x:c r="H193" s="16" t="n">
        <x:v>549000</x:v>
      </x:c>
      <x:c r="I193" s="16" t="n">
        <x:v>106000</x:v>
      </x:c>
      <x:c r="J193" s="16" t="n">
        <x:v>18000</x:v>
      </x:c>
      <x:c r="K193" s="16" t="n">
        <x:v>15000</x:v>
      </x:c>
      <x:c r="L193" s="14" t="n">
        <x:f>SUM(I193:K193)</x:f>
        <x:v>139000</x:v>
      </x:c>
      <x:c r="M193" s="14" t="n">
        <x:f>H193-L193</x:f>
        <x:v>410000</x:v>
      </x:c>
    </x:row>
    <x:row r="194">
      <x:c r="A194" t="str">
        <x:v>T0193</x:v>
      </x:c>
      <x:c r="B194" t="n">
        <x:v>4</x:v>
      </x:c>
      <x:c r="C194" t="str">
        <x:v>C033</x:v>
      </x:c>
      <x:c r="D194" t="str">
        <x:v>BPO</x:v>
      </x:c>
      <x:c r="E194" t="str">
        <x:v>Q2</x:v>
      </x:c>
      <x:c r="F194" t="str">
        <x:v>継続契約</x:v>
      </x:c>
      <x:c r="G194" t="str">
        <x:v>業務運用代行</x:v>
      </x:c>
      <x:c r="H194" s="16" t="n">
        <x:v>1553000</x:v>
      </x:c>
      <x:c r="I194" s="16" t="n">
        <x:v>308000</x:v>
      </x:c>
      <x:c r="J194" s="16" t="n">
        <x:v>53000</x:v>
      </x:c>
      <x:c r="K194" s="16" t="n">
        <x:v>44000</x:v>
      </x:c>
      <x:c r="L194" s="14" t="n">
        <x:f>SUM(I194:K194)</x:f>
        <x:v>405000</x:v>
      </x:c>
      <x:c r="M194" s="14" t="n">
        <x:f>H194-L194</x:f>
        <x:v>1148000</x:v>
      </x:c>
    </x:row>
    <x:row r="195">
      <x:c r="A195" t="str">
        <x:v>T0194</x:v>
      </x:c>
      <x:c r="B195" t="n">
        <x:v>4</x:v>
      </x:c>
      <x:c r="C195" t="str">
        <x:v>C034</x:v>
      </x:c>
      <x:c r="D195" t="str">
        <x:v>TRN</x:v>
      </x:c>
      <x:c r="E195" t="str">
        <x:v>Q2</x:v>
      </x:c>
      <x:c r="F195" t="str">
        <x:v>継続契約</x:v>
      </x:c>
      <x:c r="G195" t="str">
        <x:v>研修プログラム</x:v>
      </x:c>
      <x:c r="H195" s="16" t="n">
        <x:v>1257000</x:v>
      </x:c>
      <x:c r="I195" s="16" t="n">
        <x:v>86000</x:v>
      </x:c>
      <x:c r="J195" s="16" t="n">
        <x:v>43000</x:v>
      </x:c>
      <x:c r="K195" s="16" t="n">
        <x:v>109000</x:v>
      </x:c>
      <x:c r="L195" s="14" t="n">
        <x:f>SUM(I195:K195)</x:f>
        <x:v>238000</x:v>
      </x:c>
      <x:c r="M195" s="14" t="n">
        <x:f>H195-L195</x:f>
        <x:v>1019000</x:v>
      </x:c>
    </x:row>
    <x:row r="196">
      <x:c r="A196" t="str">
        <x:v>T0195</x:v>
      </x:c>
      <x:c r="B196" t="n">
        <x:v>4</x:v>
      </x:c>
      <x:c r="C196" t="str">
        <x:v>C035</x:v>
      </x:c>
      <x:c r="D196" t="str">
        <x:v>TRN</x:v>
      </x:c>
      <x:c r="E196" t="str">
        <x:v>Q2</x:v>
      </x:c>
      <x:c r="F196" t="str">
        <x:v>スポット中心</x:v>
      </x:c>
      <x:c r="G196" t="str">
        <x:v>研修プログラム</x:v>
      </x:c>
      <x:c r="H196" s="16" t="n">
        <x:v>1225000</x:v>
      </x:c>
      <x:c r="I196" s="16" t="n">
        <x:v>65000</x:v>
      </x:c>
      <x:c r="J196" s="16" t="n">
        <x:v>32000</x:v>
      </x:c>
      <x:c r="K196" s="16" t="n">
        <x:v>83000</x:v>
      </x:c>
      <x:c r="L196" s="14" t="n">
        <x:f>SUM(I196:K196)</x:f>
        <x:v>180000</x:v>
      </x:c>
      <x:c r="M196" s="14" t="n">
        <x:f>H196-L196</x:f>
        <x:v>1045000</x:v>
      </x:c>
    </x:row>
    <x:row r="197">
      <x:c r="A197" t="str">
        <x:v>T0196</x:v>
      </x:c>
      <x:c r="B197" t="n">
        <x:v>4</x:v>
      </x:c>
      <x:c r="C197" t="str">
        <x:v>C036</x:v>
      </x:c>
      <x:c r="D197" t="str">
        <x:v>TRN</x:v>
      </x:c>
      <x:c r="E197" t="str">
        <x:v>Q2</x:v>
      </x:c>
      <x:c r="F197" t="str">
        <x:v>継続契約</x:v>
      </x:c>
      <x:c r="G197" t="str">
        <x:v>研修プログラム</x:v>
      </x:c>
      <x:c r="H197" s="16" t="n">
        <x:v>485000</x:v>
      </x:c>
      <x:c r="I197" s="16" t="n">
        <x:v>37000</x:v>
      </x:c>
      <x:c r="J197" s="16" t="n">
        <x:v>19000</x:v>
      </x:c>
      <x:c r="K197" s="16" t="n">
        <x:v>48000</x:v>
      </x:c>
      <x:c r="L197" s="14" t="n">
        <x:f>SUM(I197:K197)</x:f>
        <x:v>104000</x:v>
      </x:c>
      <x:c r="M197" s="14" t="n">
        <x:f>H197-L197</x:f>
        <x:v>381000</x:v>
      </x:c>
    </x:row>
    <x:row r="198">
      <x:c r="A198" t="str">
        <x:v>T0197</x:v>
      </x:c>
      <x:c r="B198" t="n">
        <x:v>4</x:v>
      </x:c>
      <x:c r="C198" t="str">
        <x:v>C036</x:v>
      </x:c>
      <x:c r="D198" t="str">
        <x:v>TRN</x:v>
      </x:c>
      <x:c r="E198" t="str">
        <x:v>Q2</x:v>
      </x:c>
      <x:c r="F198" t="str">
        <x:v>継続契約</x:v>
      </x:c>
      <x:c r="G198" t="str">
        <x:v>研修プログラム</x:v>
      </x:c>
      <x:c r="H198" s="16" t="n">
        <x:v>309000</x:v>
      </x:c>
      <x:c r="I198" s="16" t="n">
        <x:v>19000</x:v>
      </x:c>
      <x:c r="J198" s="16" t="n">
        <x:v>10000</x:v>
      </x:c>
      <x:c r="K198" s="16" t="n">
        <x:v>25000</x:v>
      </x:c>
      <x:c r="L198" s="14" t="n">
        <x:f>SUM(I198:K198)</x:f>
        <x:v>54000</x:v>
      </x:c>
      <x:c r="M198" s="14" t="n">
        <x:f>H198-L198</x:f>
        <x:v>255000</x:v>
      </x:c>
    </x:row>
    <x:row r="199">
      <x:c r="A199" t="str">
        <x:v>T0198</x:v>
      </x:c>
      <x:c r="B199" t="n">
        <x:v>4</x:v>
      </x:c>
      <x:c r="C199" t="str">
        <x:v>C037</x:v>
      </x:c>
      <x:c r="D199" t="str">
        <x:v>TRN</x:v>
      </x:c>
      <x:c r="E199" t="str">
        <x:v>Q2</x:v>
      </x:c>
      <x:c r="F199" t="str">
        <x:v>継続契約</x:v>
      </x:c>
      <x:c r="G199" t="str">
        <x:v>研修プログラム</x:v>
      </x:c>
      <x:c r="H199" s="16" t="n">
        <x:v>542000</x:v>
      </x:c>
      <x:c r="I199" s="16" t="n">
        <x:v>29000</x:v>
      </x:c>
      <x:c r="J199" s="16" t="n">
        <x:v>14000</x:v>
      </x:c>
      <x:c r="K199" s="16" t="n">
        <x:v>37000</x:v>
      </x:c>
      <x:c r="L199" s="14" t="n">
        <x:f>SUM(I199:K199)</x:f>
        <x:v>80000</x:v>
      </x:c>
      <x:c r="M199" s="14" t="n">
        <x:f>H199-L199</x:f>
        <x:v>462000</x:v>
      </x:c>
    </x:row>
    <x:row r="200">
      <x:c r="A200" t="str">
        <x:v>T0199</x:v>
      </x:c>
      <x:c r="B200" t="n">
        <x:v>4</x:v>
      </x:c>
      <x:c r="C200" t="str">
        <x:v>C037</x:v>
      </x:c>
      <x:c r="D200" t="str">
        <x:v>TRN</x:v>
      </x:c>
      <x:c r="E200" t="str">
        <x:v>Q2</x:v>
      </x:c>
      <x:c r="F200" t="str">
        <x:v>継続契約</x:v>
      </x:c>
      <x:c r="G200" t="str">
        <x:v>研修プログラム</x:v>
      </x:c>
      <x:c r="H200" s="16" t="n">
        <x:v>542000</x:v>
      </x:c>
      <x:c r="I200" s="16" t="n">
        <x:v>43000</x:v>
      </x:c>
      <x:c r="J200" s="16" t="n">
        <x:v>21000</x:v>
      </x:c>
      <x:c r="K200" s="16" t="n">
        <x:v>55000</x:v>
      </x:c>
      <x:c r="L200" s="14" t="n">
        <x:f>SUM(I200:K200)</x:f>
        <x:v>119000</x:v>
      </x:c>
      <x:c r="M200" s="14" t="n">
        <x:f>H200-L200</x:f>
        <x:v>423000</x:v>
      </x:c>
    </x:row>
    <x:row r="201">
      <x:c r="A201" t="str">
        <x:v>T0200</x:v>
      </x:c>
      <x:c r="B201" t="n">
        <x:v>4</x:v>
      </x:c>
      <x:c r="C201" t="str">
        <x:v>C038</x:v>
      </x:c>
      <x:c r="D201" t="str">
        <x:v>TRN</x:v>
      </x:c>
      <x:c r="E201" t="str">
        <x:v>Q2</x:v>
      </x:c>
      <x:c r="F201" t="str">
        <x:v>継続契約</x:v>
      </x:c>
      <x:c r="G201" t="str">
        <x:v>研修プログラム</x:v>
      </x:c>
      <x:c r="H201" s="16" t="n">
        <x:v>1402000</x:v>
      </x:c>
      <x:c r="I201" s="16" t="n">
        <x:v>115000</x:v>
      </x:c>
      <x:c r="J201" s="16" t="n">
        <x:v>57000</x:v>
      </x:c>
      <x:c r="K201" s="16" t="n">
        <x:v>147000</x:v>
      </x:c>
      <x:c r="L201" s="14" t="n">
        <x:f>SUM(I201:K201)</x:f>
        <x:v>319000</x:v>
      </x:c>
      <x:c r="M201" s="14" t="n">
        <x:f>H201-L201</x:f>
        <x:v>1083000</x:v>
      </x:c>
    </x:row>
    <x:row r="202">
      <x:c r="A202" t="str">
        <x:v>T0201</x:v>
      </x:c>
      <x:c r="B202" t="n">
        <x:v>4</x:v>
      </x:c>
      <x:c r="C202" t="str">
        <x:v>C039</x:v>
      </x:c>
      <x:c r="D202" t="str">
        <x:v>TRN</x:v>
      </x:c>
      <x:c r="E202" t="str">
        <x:v>Q2</x:v>
      </x:c>
      <x:c r="F202" t="str">
        <x:v>継続契約</x:v>
      </x:c>
      <x:c r="G202" t="str">
        <x:v>研修プログラム</x:v>
      </x:c>
      <x:c r="H202" s="16" t="n">
        <x:v>1112000</x:v>
      </x:c>
      <x:c r="I202" s="16" t="n">
        <x:v>79000</x:v>
      </x:c>
      <x:c r="J202" s="16" t="n">
        <x:v>39000</x:v>
      </x:c>
      <x:c r="K202" s="16" t="n">
        <x:v>101000</x:v>
      </x:c>
      <x:c r="L202" s="14" t="n">
        <x:f>SUM(I202:K202)</x:f>
        <x:v>219000</x:v>
      </x:c>
      <x:c r="M202" s="14" t="n">
        <x:f>H202-L202</x:f>
        <x:v>893000</x:v>
      </x:c>
    </x:row>
    <x:row r="203">
      <x:c r="A203" t="str">
        <x:v>T0202</x:v>
      </x:c>
      <x:c r="B203" t="n">
        <x:v>4</x:v>
      </x:c>
      <x:c r="C203" t="str">
        <x:v>C040</x:v>
      </x:c>
      <x:c r="D203" t="str">
        <x:v>TRN</x:v>
      </x:c>
      <x:c r="E203" t="str">
        <x:v>Q2</x:v>
      </x:c>
      <x:c r="F203" t="str">
        <x:v>スポット中心</x:v>
      </x:c>
      <x:c r="G203" t="str">
        <x:v>研修プログラム</x:v>
      </x:c>
      <x:c r="H203" s="16" t="n">
        <x:v>982000</x:v>
      </x:c>
      <x:c r="I203" s="16" t="n">
        <x:v>36000</x:v>
      </x:c>
      <x:c r="J203" s="16" t="n">
        <x:v>18000</x:v>
      </x:c>
      <x:c r="K203" s="16" t="n">
        <x:v>45000</x:v>
      </x:c>
      <x:c r="L203" s="14" t="n">
        <x:f>SUM(I203:K203)</x:f>
        <x:v>99000</x:v>
      </x:c>
      <x:c r="M203" s="14" t="n">
        <x:f>H203-L203</x:f>
        <x:v>883000</x:v>
      </x:c>
    </x:row>
    <x:row r="204">
      <x:c r="A204" t="str">
        <x:v>T0203</x:v>
      </x:c>
      <x:c r="B204" t="n">
        <x:v>4</x:v>
      </x:c>
      <x:c r="C204" t="str">
        <x:v>C041</x:v>
      </x:c>
      <x:c r="D204" t="str">
        <x:v>TRN</x:v>
      </x:c>
      <x:c r="E204" t="str">
        <x:v>Q2</x:v>
      </x:c>
      <x:c r="F204" t="str">
        <x:v>継続契約</x:v>
      </x:c>
      <x:c r="G204" t="str">
        <x:v>研修プログラム</x:v>
      </x:c>
      <x:c r="H204" s="16" t="n">
        <x:v>294000</x:v>
      </x:c>
      <x:c r="I204" s="16" t="n">
        <x:v>14000</x:v>
      </x:c>
      <x:c r="J204" s="16" t="n">
        <x:v>7000</x:v>
      </x:c>
      <x:c r="K204" s="16" t="n">
        <x:v>18000</x:v>
      </x:c>
      <x:c r="L204" s="14" t="n">
        <x:f>SUM(I204:K204)</x:f>
        <x:v>39000</x:v>
      </x:c>
      <x:c r="M204" s="14" t="n">
        <x:f>H204-L204</x:f>
        <x:v>255000</x:v>
      </x:c>
    </x:row>
    <x:row r="205">
      <x:c r="A205" t="str">
        <x:v>T0204</x:v>
      </x:c>
      <x:c r="B205" t="n">
        <x:v>4</x:v>
      </x:c>
      <x:c r="C205" t="str">
        <x:v>C041</x:v>
      </x:c>
      <x:c r="D205" t="str">
        <x:v>TRN</x:v>
      </x:c>
      <x:c r="E205" t="str">
        <x:v>Q2</x:v>
      </x:c>
      <x:c r="F205" t="str">
        <x:v>継続契約</x:v>
      </x:c>
      <x:c r="G205" t="str">
        <x:v>研修プログラム</x:v>
      </x:c>
      <x:c r="H205" s="16" t="n">
        <x:v>406000</x:v>
      </x:c>
      <x:c r="I205" s="16" t="n">
        <x:v>31000</x:v>
      </x:c>
      <x:c r="J205" s="16" t="n">
        <x:v>15000</x:v>
      </x:c>
      <x:c r="K205" s="16" t="n">
        <x:v>39000</x:v>
      </x:c>
      <x:c r="L205" s="14" t="n">
        <x:f>SUM(I205:K205)</x:f>
        <x:v>85000</x:v>
      </x:c>
      <x:c r="M205" s="14" t="n">
        <x:f>H205-L205</x:f>
        <x:v>321000</x:v>
      </x:c>
    </x:row>
    <x:row r="206">
      <x:c r="A206" t="str">
        <x:v>T0205</x:v>
      </x:c>
      <x:c r="B206" t="n">
        <x:v>4</x:v>
      </x:c>
      <x:c r="C206" t="str">
        <x:v>C042</x:v>
      </x:c>
      <x:c r="D206" t="str">
        <x:v>TRN</x:v>
      </x:c>
      <x:c r="E206" t="str">
        <x:v>Q2</x:v>
      </x:c>
      <x:c r="F206" t="str">
        <x:v>継続契約</x:v>
      </x:c>
      <x:c r="G206" t="str">
        <x:v>研修プログラム</x:v>
      </x:c>
      <x:c r="H206" s="16" t="n">
        <x:v>1046000</x:v>
      </x:c>
      <x:c r="I206" s="16" t="n">
        <x:v>70000</x:v>
      </x:c>
      <x:c r="J206" s="16" t="n">
        <x:v>35000</x:v>
      </x:c>
      <x:c r="K206" s="16" t="n">
        <x:v>89000</x:v>
      </x:c>
      <x:c r="L206" s="14" t="n">
        <x:f>SUM(I206:K206)</x:f>
        <x:v>194000</x:v>
      </x:c>
      <x:c r="M206" s="14" t="n">
        <x:f>H206-L206</x:f>
        <x:v>852000</x:v>
      </x:c>
    </x:row>
    <x:row r="207">
      <x:c r="A207" t="str">
        <x:v>T0206</x:v>
      </x:c>
      <x:c r="B207" t="n">
        <x:v>4</x:v>
      </x:c>
      <x:c r="C207" t="str">
        <x:v>C043</x:v>
      </x:c>
      <x:c r="D207" t="str">
        <x:v>TRN</x:v>
      </x:c>
      <x:c r="E207" t="str">
        <x:v>Q2</x:v>
      </x:c>
      <x:c r="F207" t="str">
        <x:v>継続契約</x:v>
      </x:c>
      <x:c r="G207" t="str">
        <x:v>研修プログラム</x:v>
      </x:c>
      <x:c r="H207" s="16" t="n">
        <x:v>346000</x:v>
      </x:c>
      <x:c r="I207" s="16" t="n">
        <x:v>14000</x:v>
      </x:c>
      <x:c r="J207" s="16" t="n">
        <x:v>7000</x:v>
      </x:c>
      <x:c r="K207" s="16" t="n">
        <x:v>18000</x:v>
      </x:c>
      <x:c r="L207" s="14" t="n">
        <x:f>SUM(I207:K207)</x:f>
        <x:v>39000</x:v>
      </x:c>
      <x:c r="M207" s="14" t="n">
        <x:f>H207-L207</x:f>
        <x:v>307000</x:v>
      </x:c>
    </x:row>
    <x:row r="208">
      <x:c r="A208" t="str">
        <x:v>T0207</x:v>
      </x:c>
      <x:c r="B208" t="n">
        <x:v>4</x:v>
      </x:c>
      <x:c r="C208" t="str">
        <x:v>C043</x:v>
      </x:c>
      <x:c r="D208" t="str">
        <x:v>TRN</x:v>
      </x:c>
      <x:c r="E208" t="str">
        <x:v>Q2</x:v>
      </x:c>
      <x:c r="F208" t="str">
        <x:v>継続契約</x:v>
      </x:c>
      <x:c r="G208" t="str">
        <x:v>研修プログラム</x:v>
      </x:c>
      <x:c r="H208" s="16" t="n">
        <x:v>236000</x:v>
      </x:c>
      <x:c r="I208" s="16" t="n">
        <x:v>18000</x:v>
      </x:c>
      <x:c r="J208" s="16" t="n">
        <x:v>9000</x:v>
      </x:c>
      <x:c r="K208" s="16" t="n">
        <x:v>22000</x:v>
      </x:c>
      <x:c r="L208" s="14" t="n">
        <x:f>SUM(I208:K208)</x:f>
        <x:v>49000</x:v>
      </x:c>
      <x:c r="M208" s="14" t="n">
        <x:f>H208-L208</x:f>
        <x:v>187000</x:v>
      </x:c>
    </x:row>
    <x:row r="209">
      <x:c r="A209" t="str">
        <x:v>T0208</x:v>
      </x:c>
      <x:c r="B209" t="n">
        <x:v>4</x:v>
      </x:c>
      <x:c r="C209" t="str">
        <x:v>C044</x:v>
      </x:c>
      <x:c r="D209" t="str">
        <x:v>TRN</x:v>
      </x:c>
      <x:c r="E209" t="str">
        <x:v>Q2</x:v>
      </x:c>
      <x:c r="F209" t="str">
        <x:v>継続契約</x:v>
      </x:c>
      <x:c r="G209" t="str">
        <x:v>研修プログラム</x:v>
      </x:c>
      <x:c r="H209" s="16" t="n">
        <x:v>970000</x:v>
      </x:c>
      <x:c r="I209" s="16" t="n">
        <x:v>74000</x:v>
      </x:c>
      <x:c r="J209" s="16" t="n">
        <x:v>37000</x:v>
      </x:c>
      <x:c r="K209" s="16" t="n">
        <x:v>95000</x:v>
      </x:c>
      <x:c r="L209" s="14" t="n">
        <x:f>SUM(I209:K209)</x:f>
        <x:v>206000</x:v>
      </x:c>
      <x:c r="M209" s="14" t="n">
        <x:f>H209-L209</x:f>
        <x:v>764000</x:v>
      </x:c>
    </x:row>
    <x:row r="210">
      <x:c r="A210" t="str">
        <x:v>T0209</x:v>
      </x:c>
      <x:c r="B210" t="n">
        <x:v>4</x:v>
      </x:c>
      <x:c r="C210" t="str">
        <x:v>C045</x:v>
      </x:c>
      <x:c r="D210" t="str">
        <x:v>TRN</x:v>
      </x:c>
      <x:c r="E210" t="str">
        <x:v>Q2</x:v>
      </x:c>
      <x:c r="F210" t="str">
        <x:v>スポット中心</x:v>
      </x:c>
      <x:c r="G210" t="str">
        <x:v>研修プログラム</x:v>
      </x:c>
      <x:c r="H210" s="16" t="n">
        <x:v>337000</x:v>
      </x:c>
      <x:c r="I210" s="16" t="n">
        <x:v>22000</x:v>
      </x:c>
      <x:c r="J210" s="16" t="n">
        <x:v>11000</x:v>
      </x:c>
      <x:c r="K210" s="16" t="n">
        <x:v>29000</x:v>
      </x:c>
      <x:c r="L210" s="14" t="n">
        <x:f>SUM(I210:K210)</x:f>
        <x:v>62000</x:v>
      </x:c>
      <x:c r="M210" s="14" t="n">
        <x:f>H210-L210</x:f>
        <x:v>275000</x:v>
      </x:c>
    </x:row>
    <x:row r="211">
      <x:c r="A211" t="str">
        <x:v>T0210</x:v>
      </x:c>
      <x:c r="B211" t="n">
        <x:v>4</x:v>
      </x:c>
      <x:c r="C211" t="str">
        <x:v>C045</x:v>
      </x:c>
      <x:c r="D211" t="str">
        <x:v>TRN</x:v>
      </x:c>
      <x:c r="E211" t="str">
        <x:v>Q2</x:v>
      </x:c>
      <x:c r="F211" t="str">
        <x:v>スポット中心</x:v>
      </x:c>
      <x:c r="G211" t="str">
        <x:v>研修プログラム</x:v>
      </x:c>
      <x:c r="H211" s="16" t="n">
        <x:v>459000</x:v>
      </x:c>
      <x:c r="I211" s="16" t="n">
        <x:v>28000</x:v>
      </x:c>
      <x:c r="J211" s="16" t="n">
        <x:v>14000</x:v>
      </x:c>
      <x:c r="K211" s="16" t="n">
        <x:v>37000</x:v>
      </x:c>
      <x:c r="L211" s="14" t="n">
        <x:f>SUM(I211:K211)</x:f>
        <x:v>79000</x:v>
      </x:c>
      <x:c r="M211" s="14" t="n">
        <x:f>H211-L211</x:f>
        <x:v>380000</x:v>
      </x:c>
    </x:row>
    <x:row r="212">
      <x:c r="A212" t="str">
        <x:v>T0211</x:v>
      </x:c>
      <x:c r="B212" t="n">
        <x:v>5</x:v>
      </x:c>
      <x:c r="C212" t="str">
        <x:v>C001</x:v>
      </x:c>
      <x:c r="D212" t="str">
        <x:v>IT</x:v>
      </x:c>
      <x:c r="E212" t="str">
        <x:v>Q2</x:v>
      </x:c>
      <x:c r="F212" t="str">
        <x:v>継続契約</x:v>
      </x:c>
      <x:c r="G212" t="str">
        <x:v>導入・運用支援</x:v>
      </x:c>
      <x:c r="H212" s="16" t="n">
        <x:v>5657000</x:v>
      </x:c>
      <x:c r="I212" s="16" t="n">
        <x:v>1094000</x:v>
      </x:c>
      <x:c r="J212" s="16" t="n">
        <x:v>696000</x:v>
      </x:c>
      <x:c r="K212" s="16" t="n">
        <x:v>199000</x:v>
      </x:c>
      <x:c r="L212" s="14" t="n">
        <x:f>SUM(I212:K212)</x:f>
        <x:v>1989000</x:v>
      </x:c>
      <x:c r="M212" s="14" t="n">
        <x:f>H212-L212</x:f>
        <x:v>3668000</x:v>
      </x:c>
    </x:row>
    <x:row r="213">
      <x:c r="A213" t="str">
        <x:v>T0212</x:v>
      </x:c>
      <x:c r="B213" t="n">
        <x:v>5</x:v>
      </x:c>
      <x:c r="C213" t="str">
        <x:v>C002</x:v>
      </x:c>
      <x:c r="D213" t="str">
        <x:v>IT</x:v>
      </x:c>
      <x:c r="E213" t="str">
        <x:v>Q2</x:v>
      </x:c>
      <x:c r="F213" t="str">
        <x:v>継続契約</x:v>
      </x:c>
      <x:c r="G213" t="str">
        <x:v>導入・運用支援</x:v>
      </x:c>
      <x:c r="H213" s="16" t="n">
        <x:v>5337000</x:v>
      </x:c>
      <x:c r="I213" s="16" t="n">
        <x:v>1148000</x:v>
      </x:c>
      <x:c r="J213" s="16" t="n">
        <x:v>731000</x:v>
      </x:c>
      <x:c r="K213" s="16" t="n">
        <x:v>209000</x:v>
      </x:c>
      <x:c r="L213" s="14" t="n">
        <x:f>SUM(I213:K213)</x:f>
        <x:v>2088000</x:v>
      </x:c>
      <x:c r="M213" s="14" t="n">
        <x:f>H213-L213</x:f>
        <x:v>3249000</x:v>
      </x:c>
    </x:row>
    <x:row r="214">
      <x:c r="A214" t="str">
        <x:v>T0213</x:v>
      </x:c>
      <x:c r="B214" t="n">
        <x:v>5</x:v>
      </x:c>
      <x:c r="C214" t="str">
        <x:v>C003</x:v>
      </x:c>
      <x:c r="D214" t="str">
        <x:v>IT</x:v>
      </x:c>
      <x:c r="E214" t="str">
        <x:v>Q2</x:v>
      </x:c>
      <x:c r="F214" t="str">
        <x:v>継続契約</x:v>
      </x:c>
      <x:c r="G214" t="str">
        <x:v>導入・運用支援</x:v>
      </x:c>
      <x:c r="H214" s="16" t="n">
        <x:v>2097000</x:v>
      </x:c>
      <x:c r="I214" s="16" t="n">
        <x:v>419000</x:v>
      </x:c>
      <x:c r="J214" s="16" t="n">
        <x:v>266000</x:v>
      </x:c>
      <x:c r="K214" s="16" t="n">
        <x:v>76000</x:v>
      </x:c>
      <x:c r="L214" s="14" t="n">
        <x:f>SUM(I214:K214)</x:f>
        <x:v>761000</x:v>
      </x:c>
      <x:c r="M214" s="14" t="n">
        <x:f>H214-L214</x:f>
        <x:v>1336000</x:v>
      </x:c>
    </x:row>
    <x:row r="215">
      <x:c r="A215" t="str">
        <x:v>T0214</x:v>
      </x:c>
      <x:c r="B215" t="n">
        <x:v>5</x:v>
      </x:c>
      <x:c r="C215" t="str">
        <x:v>C004</x:v>
      </x:c>
      <x:c r="D215" t="str">
        <x:v>IT</x:v>
      </x:c>
      <x:c r="E215" t="str">
        <x:v>Q2</x:v>
      </x:c>
      <x:c r="F215" t="str">
        <x:v>継続契約</x:v>
      </x:c>
      <x:c r="G215" t="str">
        <x:v>導入・運用支援</x:v>
      </x:c>
      <x:c r="H215" s="16" t="n">
        <x:v>448000</x:v>
      </x:c>
      <x:c r="I215" s="16" t="n">
        <x:v>89000</x:v>
      </x:c>
      <x:c r="J215" s="16" t="n">
        <x:v>56000</x:v>
      </x:c>
      <x:c r="K215" s="16" t="n">
        <x:v>16000</x:v>
      </x:c>
      <x:c r="L215" s="14" t="n">
        <x:f>SUM(I215:K215)</x:f>
        <x:v>161000</x:v>
      </x:c>
      <x:c r="M215" s="14" t="n">
        <x:f>H215-L215</x:f>
        <x:v>287000</x:v>
      </x:c>
    </x:row>
    <x:row r="216">
      <x:c r="A216" t="str">
        <x:v>T0215</x:v>
      </x:c>
      <x:c r="B216" t="n">
        <x:v>5</x:v>
      </x:c>
      <x:c r="C216" t="str">
        <x:v>C004</x:v>
      </x:c>
      <x:c r="D216" t="str">
        <x:v>IT</x:v>
      </x:c>
      <x:c r="E216" t="str">
        <x:v>Q2</x:v>
      </x:c>
      <x:c r="F216" t="str">
        <x:v>継続契約</x:v>
      </x:c>
      <x:c r="G216" t="str">
        <x:v>導入・運用支援</x:v>
      </x:c>
      <x:c r="H216" s="16" t="n">
        <x:v>503000</x:v>
      </x:c>
      <x:c r="I216" s="16" t="n">
        <x:v>93000</x:v>
      </x:c>
      <x:c r="J216" s="16" t="n">
        <x:v>59000</x:v>
      </x:c>
      <x:c r="K216" s="16" t="n">
        <x:v>17000</x:v>
      </x:c>
      <x:c r="L216" s="14" t="n">
        <x:f>SUM(I216:K216)</x:f>
        <x:v>169000</x:v>
      </x:c>
      <x:c r="M216" s="14" t="n">
        <x:f>H216-L216</x:f>
        <x:v>334000</x:v>
      </x:c>
    </x:row>
    <x:row r="217">
      <x:c r="A217" t="str">
        <x:v>T0216</x:v>
      </x:c>
      <x:c r="B217" t="n">
        <x:v>5</x:v>
      </x:c>
      <x:c r="C217" t="str">
        <x:v>C006</x:v>
      </x:c>
      <x:c r="D217" t="str">
        <x:v>IT</x:v>
      </x:c>
      <x:c r="E217" t="str">
        <x:v>Q2</x:v>
      </x:c>
      <x:c r="F217" t="str">
        <x:v>継続契約</x:v>
      </x:c>
      <x:c r="G217" t="str">
        <x:v>導入・運用支援</x:v>
      </x:c>
      <x:c r="H217" s="16" t="n">
        <x:v>1184000</x:v>
      </x:c>
      <x:c r="I217" s="16" t="n">
        <x:v>239000</x:v>
      </x:c>
      <x:c r="J217" s="16" t="n">
        <x:v>152000</x:v>
      </x:c>
      <x:c r="K217" s="16" t="n">
        <x:v>44000</x:v>
      </x:c>
      <x:c r="L217" s="14" t="n">
        <x:f>SUM(I217:K217)</x:f>
        <x:v>435000</x:v>
      </x:c>
      <x:c r="M217" s="14" t="n">
        <x:f>H217-L217</x:f>
        <x:v>749000</x:v>
      </x:c>
    </x:row>
    <x:row r="218">
      <x:c r="A218" t="str">
        <x:v>T0217</x:v>
      </x:c>
      <x:c r="B218" t="n">
        <x:v>5</x:v>
      </x:c>
      <x:c r="C218" t="str">
        <x:v>C007</x:v>
      </x:c>
      <x:c r="D218" t="str">
        <x:v>IT</x:v>
      </x:c>
      <x:c r="E218" t="str">
        <x:v>Q2</x:v>
      </x:c>
      <x:c r="F218" t="str">
        <x:v>継続契約</x:v>
      </x:c>
      <x:c r="G218" t="str">
        <x:v>導入・運用支援</x:v>
      </x:c>
      <x:c r="H218" s="16" t="n">
        <x:v>1569000</x:v>
      </x:c>
      <x:c r="I218" s="16" t="n">
        <x:v>309000</x:v>
      </x:c>
      <x:c r="J218" s="16" t="n">
        <x:v>196000</x:v>
      </x:c>
      <x:c r="K218" s="16" t="n">
        <x:v>56000</x:v>
      </x:c>
      <x:c r="L218" s="14" t="n">
        <x:f>SUM(I218:K218)</x:f>
        <x:v>561000</x:v>
      </x:c>
      <x:c r="M218" s="14" t="n">
        <x:f>H218-L218</x:f>
        <x:v>1008000</x:v>
      </x:c>
    </x:row>
    <x:row r="219">
      <x:c r="A219" t="str">
        <x:v>T0218</x:v>
      </x:c>
      <x:c r="B219" t="n">
        <x:v>5</x:v>
      </x:c>
      <x:c r="C219" t="str">
        <x:v>C009</x:v>
      </x:c>
      <x:c r="D219" t="str">
        <x:v>IT</x:v>
      </x:c>
      <x:c r="E219" t="str">
        <x:v>Q2</x:v>
      </x:c>
      <x:c r="F219" t="str">
        <x:v>継続契約</x:v>
      </x:c>
      <x:c r="G219" t="str">
        <x:v>導入・運用支援</x:v>
      </x:c>
      <x:c r="H219" s="16" t="n">
        <x:v>1528000</x:v>
      </x:c>
      <x:c r="I219" s="16" t="n">
        <x:v>309000</x:v>
      </x:c>
      <x:c r="J219" s="16" t="n">
        <x:v>196000</x:v>
      </x:c>
      <x:c r="K219" s="16" t="n">
        <x:v>56000</x:v>
      </x:c>
      <x:c r="L219" s="14" t="n">
        <x:f>SUM(I219:K219)</x:f>
        <x:v>561000</x:v>
      </x:c>
      <x:c r="M219" s="14" t="n">
        <x:f>H219-L219</x:f>
        <x:v>967000</x:v>
      </x:c>
    </x:row>
    <x:row r="220">
      <x:c r="A220" t="str">
        <x:v>T0219</x:v>
      </x:c>
      <x:c r="B220" t="n">
        <x:v>5</x:v>
      </x:c>
      <x:c r="C220" t="str">
        <x:v>C010</x:v>
      </x:c>
      <x:c r="D220" t="str">
        <x:v>IT</x:v>
      </x:c>
      <x:c r="E220" t="str">
        <x:v>Q2</x:v>
      </x:c>
      <x:c r="F220" t="str">
        <x:v>スポット中心</x:v>
      </x:c>
      <x:c r="G220" t="str">
        <x:v>導入・運用支援</x:v>
      </x:c>
      <x:c r="H220" s="16" t="n">
        <x:v>549000</x:v>
      </x:c>
      <x:c r="I220" s="16" t="n">
        <x:v>123000</x:v>
      </x:c>
      <x:c r="J220" s="16" t="n">
        <x:v>78000</x:v>
      </x:c>
      <x:c r="K220" s="16" t="n">
        <x:v>23000</x:v>
      </x:c>
      <x:c r="L220" s="14" t="n">
        <x:f>SUM(I220:K220)</x:f>
        <x:v>224000</x:v>
      </x:c>
      <x:c r="M220" s="14" t="n">
        <x:f>H220-L220</x:f>
        <x:v>325000</x:v>
      </x:c>
    </x:row>
    <x:row r="221">
      <x:c r="A221" t="str">
        <x:v>T0220</x:v>
      </x:c>
      <x:c r="B221" t="n">
        <x:v>5</x:v>
      </x:c>
      <x:c r="C221" t="str">
        <x:v>C010</x:v>
      </x:c>
      <x:c r="D221" t="str">
        <x:v>IT</x:v>
      </x:c>
      <x:c r="E221" t="str">
        <x:v>Q2</x:v>
      </x:c>
      <x:c r="F221" t="str">
        <x:v>スポット中心</x:v>
      </x:c>
      <x:c r="G221" t="str">
        <x:v>導入・運用支援</x:v>
      </x:c>
      <x:c r="H221" s="16" t="n">
        <x:v>389000</x:v>
      </x:c>
      <x:c r="I221" s="16" t="n">
        <x:v>85000</x:v>
      </x:c>
      <x:c r="J221" s="16" t="n">
        <x:v>54000</x:v>
      </x:c>
      <x:c r="K221" s="16" t="n">
        <x:v>15000</x:v>
      </x:c>
      <x:c r="L221" s="14" t="n">
        <x:f>SUM(I221:K221)</x:f>
        <x:v>154000</x:v>
      </x:c>
      <x:c r="M221" s="14" t="n">
        <x:f>H221-L221</x:f>
        <x:v>235000</x:v>
      </x:c>
    </x:row>
    <x:row r="222">
      <x:c r="A222" t="str">
        <x:v>T0221</x:v>
      </x:c>
      <x:c r="B222" t="n">
        <x:v>5</x:v>
      </x:c>
      <x:c r="C222" t="str">
        <x:v>C011</x:v>
      </x:c>
      <x:c r="D222" t="str">
        <x:v>IT</x:v>
      </x:c>
      <x:c r="E222" t="str">
        <x:v>Q2</x:v>
      </x:c>
      <x:c r="F222" t="str">
        <x:v>継続契約</x:v>
      </x:c>
      <x:c r="G222" t="str">
        <x:v>導入・運用支援</x:v>
      </x:c>
      <x:c r="H222" s="16" t="n">
        <x:v>1058000</x:v>
      </x:c>
      <x:c r="I222" s="16" t="n">
        <x:v>220000</x:v>
      </x:c>
      <x:c r="J222" s="16" t="n">
        <x:v>140000</x:v>
      </x:c>
      <x:c r="K222" s="16" t="n">
        <x:v>40000</x:v>
      </x:c>
      <x:c r="L222" s="14" t="n">
        <x:f>SUM(I222:K222)</x:f>
        <x:v>400000</x:v>
      </x:c>
      <x:c r="M222" s="14" t="n">
        <x:f>H222-L222</x:f>
        <x:v>658000</x:v>
      </x:c>
    </x:row>
    <x:row r="223">
      <x:c r="A223" t="str">
        <x:v>T0222</x:v>
      </x:c>
      <x:c r="B223" t="n">
        <x:v>5</x:v>
      </x:c>
      <x:c r="C223" t="str">
        <x:v>C012</x:v>
      </x:c>
      <x:c r="D223" t="str">
        <x:v>IT</x:v>
      </x:c>
      <x:c r="E223" t="str">
        <x:v>Q2</x:v>
      </x:c>
      <x:c r="F223" t="str">
        <x:v>継続契約</x:v>
      </x:c>
      <x:c r="G223" t="str">
        <x:v>導入・運用支援</x:v>
      </x:c>
      <x:c r="H223" s="16" t="n">
        <x:v>1163000</x:v>
      </x:c>
      <x:c r="I223" s="16" t="n">
        <x:v>206000</x:v>
      </x:c>
      <x:c r="J223" s="16" t="n">
        <x:v>131000</x:v>
      </x:c>
      <x:c r="K223" s="16" t="n">
        <x:v>37000</x:v>
      </x:c>
      <x:c r="L223" s="14" t="n">
        <x:f>SUM(I223:K223)</x:f>
        <x:v>374000</x:v>
      </x:c>
      <x:c r="M223" s="14" t="n">
        <x:f>H223-L223</x:f>
        <x:v>789000</x:v>
      </x:c>
    </x:row>
    <x:row r="224">
      <x:c r="A224" t="str">
        <x:v>T0223</x:v>
      </x:c>
      <x:c r="B224" t="n">
        <x:v>5</x:v>
      </x:c>
      <x:c r="C224" t="str">
        <x:v>C013</x:v>
      </x:c>
      <x:c r="D224" t="str">
        <x:v>IT</x:v>
      </x:c>
      <x:c r="E224" t="str">
        <x:v>Q2</x:v>
      </x:c>
      <x:c r="F224" t="str">
        <x:v>継続契約</x:v>
      </x:c>
      <x:c r="G224" t="str">
        <x:v>導入・運用支援</x:v>
      </x:c>
      <x:c r="H224" s="16" t="n">
        <x:v>1304000</x:v>
      </x:c>
      <x:c r="I224" s="16" t="n">
        <x:v>215000</x:v>
      </x:c>
      <x:c r="J224" s="16" t="n">
        <x:v>137000</x:v>
      </x:c>
      <x:c r="K224" s="16" t="n">
        <x:v>39000</x:v>
      </x:c>
      <x:c r="L224" s="14" t="n">
        <x:f>SUM(I224:K224)</x:f>
        <x:v>391000</x:v>
      </x:c>
      <x:c r="M224" s="14" t="n">
        <x:f>H224-L224</x:f>
        <x:v>913000</x:v>
      </x:c>
    </x:row>
    <x:row r="225">
      <x:c r="A225" t="str">
        <x:v>T0224</x:v>
      </x:c>
      <x:c r="B225" t="n">
        <x:v>5</x:v>
      </x:c>
      <x:c r="C225" t="str">
        <x:v>C014</x:v>
      </x:c>
      <x:c r="D225" t="str">
        <x:v>IT</x:v>
      </x:c>
      <x:c r="E225" t="str">
        <x:v>Q2</x:v>
      </x:c>
      <x:c r="F225" t="str">
        <x:v>継続契約</x:v>
      </x:c>
      <x:c r="G225" t="str">
        <x:v>導入・運用支援</x:v>
      </x:c>
      <x:c r="H225" s="16" t="n">
        <x:v>457000</x:v>
      </x:c>
      <x:c r="I225" s="16" t="n">
        <x:v>98000</x:v>
      </x:c>
      <x:c r="J225" s="16" t="n">
        <x:v>63000</x:v>
      </x:c>
      <x:c r="K225" s="16" t="n">
        <x:v>18000</x:v>
      </x:c>
      <x:c r="L225" s="14" t="n">
        <x:f>SUM(I225:K225)</x:f>
        <x:v>179000</x:v>
      </x:c>
      <x:c r="M225" s="14" t="n">
        <x:f>H225-L225</x:f>
        <x:v>278000</x:v>
      </x:c>
    </x:row>
    <x:row r="226">
      <x:c r="A226" t="str">
        <x:v>T0225</x:v>
      </x:c>
      <x:c r="B226" t="n">
        <x:v>5</x:v>
      </x:c>
      <x:c r="C226" t="str">
        <x:v>C014</x:v>
      </x:c>
      <x:c r="D226" t="str">
        <x:v>IT</x:v>
      </x:c>
      <x:c r="E226" t="str">
        <x:v>Q2</x:v>
      </x:c>
      <x:c r="F226" t="str">
        <x:v>継続契約</x:v>
      </x:c>
      <x:c r="G226" t="str">
        <x:v>導入・運用支援</x:v>
      </x:c>
      <x:c r="H226" s="16" t="n">
        <x:v>610000</x:v>
      </x:c>
      <x:c r="I226" s="16" t="n">
        <x:v>137000</x:v>
      </x:c>
      <x:c r="J226" s="16" t="n">
        <x:v>87000</x:v>
      </x:c>
      <x:c r="K226" s="16" t="n">
        <x:v>25000</x:v>
      </x:c>
      <x:c r="L226" s="14" t="n">
        <x:f>SUM(I226:K226)</x:f>
        <x:v>249000</x:v>
      </x:c>
      <x:c r="M226" s="14" t="n">
        <x:f>H226-L226</x:f>
        <x:v>361000</x:v>
      </x:c>
    </x:row>
    <x:row r="227">
      <x:c r="A227" t="str">
        <x:v>T0226</x:v>
      </x:c>
      <x:c r="B227" t="n">
        <x:v>5</x:v>
      </x:c>
      <x:c r="C227" t="str">
        <x:v>C015</x:v>
      </x:c>
      <x:c r="D227" t="str">
        <x:v>IT</x:v>
      </x:c>
      <x:c r="E227" t="str">
        <x:v>Q2</x:v>
      </x:c>
      <x:c r="F227" t="str">
        <x:v>スポット中心</x:v>
      </x:c>
      <x:c r="G227" t="str">
        <x:v>導入・運用支援</x:v>
      </x:c>
      <x:c r="H227" s="16" t="n">
        <x:v>1170000</x:v>
      </x:c>
      <x:c r="I227" s="16" t="n">
        <x:v>245000</x:v>
      </x:c>
      <x:c r="J227" s="16" t="n">
        <x:v>156000</x:v>
      </x:c>
      <x:c r="K227" s="16" t="n">
        <x:v>44000</x:v>
      </x:c>
      <x:c r="L227" s="14" t="n">
        <x:f>SUM(I227:K227)</x:f>
        <x:v>445000</x:v>
      </x:c>
      <x:c r="M227" s="14" t="n">
        <x:f>H227-L227</x:f>
        <x:v>725000</x:v>
      </x:c>
    </x:row>
    <x:row r="228">
      <x:c r="A228" t="str">
        <x:v>T0227</x:v>
      </x:c>
      <x:c r="B228" t="n">
        <x:v>5</x:v>
      </x:c>
      <x:c r="C228" t="str">
        <x:v>C016</x:v>
      </x:c>
      <x:c r="D228" t="str">
        <x:v>IT</x:v>
      </x:c>
      <x:c r="E228" t="str">
        <x:v>Q2</x:v>
      </x:c>
      <x:c r="F228" t="str">
        <x:v>継続契約</x:v>
      </x:c>
      <x:c r="G228" t="str">
        <x:v>導入・運用支援</x:v>
      </x:c>
      <x:c r="H228" s="16" t="n">
        <x:v>1264000</x:v>
      </x:c>
      <x:c r="I228" s="16" t="n">
        <x:v>211000</x:v>
      </x:c>
      <x:c r="J228" s="16" t="n">
        <x:v>134000</x:v>
      </x:c>
      <x:c r="K228" s="16" t="n">
        <x:v>39000</x:v>
      </x:c>
      <x:c r="L228" s="14" t="n">
        <x:f>SUM(I228:K228)</x:f>
        <x:v>384000</x:v>
      </x:c>
      <x:c r="M228" s="14" t="n">
        <x:f>H228-L228</x:f>
        <x:v>880000</x:v>
      </x:c>
    </x:row>
    <x:row r="229">
      <x:c r="A229" t="str">
        <x:v>T0228</x:v>
      </x:c>
      <x:c r="B229" t="n">
        <x:v>5</x:v>
      </x:c>
      <x:c r="C229" t="str">
        <x:v>C017</x:v>
      </x:c>
      <x:c r="D229" t="str">
        <x:v>IT</x:v>
      </x:c>
      <x:c r="E229" t="str">
        <x:v>Q2</x:v>
      </x:c>
      <x:c r="F229" t="str">
        <x:v>継続契約</x:v>
      </x:c>
      <x:c r="G229" t="str">
        <x:v>導入・運用支援</x:v>
      </x:c>
      <x:c r="H229" s="16" t="n">
        <x:v>532000</x:v>
      </x:c>
      <x:c r="I229" s="16" t="n">
        <x:v>97000</x:v>
      </x:c>
      <x:c r="J229" s="16" t="n">
        <x:v>62000</x:v>
      </x:c>
      <x:c r="K229" s="16" t="n">
        <x:v>17000</x:v>
      </x:c>
      <x:c r="L229" s="14" t="n">
        <x:f>SUM(I229:K229)</x:f>
        <x:v>176000</x:v>
      </x:c>
      <x:c r="M229" s="14" t="n">
        <x:f>H229-L229</x:f>
        <x:v>356000</x:v>
      </x:c>
    </x:row>
    <x:row r="230">
      <x:c r="A230" t="str">
        <x:v>T0229</x:v>
      </x:c>
      <x:c r="B230" t="n">
        <x:v>5</x:v>
      </x:c>
      <x:c r="C230" t="str">
        <x:v>C017</x:v>
      </x:c>
      <x:c r="D230" t="str">
        <x:v>IT</x:v>
      </x:c>
      <x:c r="E230" t="str">
        <x:v>Q2</x:v>
      </x:c>
      <x:c r="F230" t="str">
        <x:v>継続契約</x:v>
      </x:c>
      <x:c r="G230" t="str">
        <x:v>導入・運用支援</x:v>
      </x:c>
      <x:c r="H230" s="16" t="n">
        <x:v>518000</x:v>
      </x:c>
      <x:c r="I230" s="16" t="n">
        <x:v>108000</x:v>
      </x:c>
      <x:c r="J230" s="16" t="n">
        <x:v>69000</x:v>
      </x:c>
      <x:c r="K230" s="16" t="n">
        <x:v>19000</x:v>
      </x:c>
      <x:c r="L230" s="14" t="n">
        <x:f>SUM(I230:K230)</x:f>
        <x:v>196000</x:v>
      </x:c>
      <x:c r="M230" s="14" t="n">
        <x:f>H230-L230</x:f>
        <x:v>322000</x:v>
      </x:c>
    </x:row>
    <x:row r="231">
      <x:c r="A231" t="str">
        <x:v>T0230</x:v>
      </x:c>
      <x:c r="B231" t="n">
        <x:v>5</x:v>
      </x:c>
      <x:c r="C231" t="str">
        <x:v>C018</x:v>
      </x:c>
      <x:c r="D231" t="str">
        <x:v>IT</x:v>
      </x:c>
      <x:c r="E231" t="str">
        <x:v>Q2</x:v>
      </x:c>
      <x:c r="F231" t="str">
        <x:v>継続契約</x:v>
      </x:c>
      <x:c r="G231" t="str">
        <x:v>導入・運用支援</x:v>
      </x:c>
      <x:c r="H231" s="16" t="n">
        <x:v>1621000</x:v>
      </x:c>
      <x:c r="I231" s="16" t="n">
        <x:v>268000</x:v>
      </x:c>
      <x:c r="J231" s="16" t="n">
        <x:v>171000</x:v>
      </x:c>
      <x:c r="K231" s="16" t="n">
        <x:v>49000</x:v>
      </x:c>
      <x:c r="L231" s="14" t="n">
        <x:f>SUM(I231:K231)</x:f>
        <x:v>488000</x:v>
      </x:c>
      <x:c r="M231" s="14" t="n">
        <x:f>H231-L231</x:f>
        <x:v>1133000</x:v>
      </x:c>
    </x:row>
    <x:row r="232">
      <x:c r="A232" t="str">
        <x:v>T0231</x:v>
      </x:c>
      <x:c r="B232" t="n">
        <x:v>5</x:v>
      </x:c>
      <x:c r="C232" t="str">
        <x:v>C019</x:v>
      </x:c>
      <x:c r="D232" t="str">
        <x:v>BPO</x:v>
      </x:c>
      <x:c r="E232" t="str">
        <x:v>Q2</x:v>
      </x:c>
      <x:c r="F232" t="str">
        <x:v>継続契約</x:v>
      </x:c>
      <x:c r="G232" t="str">
        <x:v>業務運用代行</x:v>
      </x:c>
      <x:c r="H232" s="16" t="n">
        <x:v>1592000</x:v>
      </x:c>
      <x:c r="I232" s="16" t="n">
        <x:v>318000</x:v>
      </x:c>
      <x:c r="J232" s="16" t="n">
        <x:v>54000</x:v>
      </x:c>
      <x:c r="K232" s="16" t="n">
        <x:v>46000</x:v>
      </x:c>
      <x:c r="L232" s="14" t="n">
        <x:f>SUM(I232:K232)</x:f>
        <x:v>418000</x:v>
      </x:c>
      <x:c r="M232" s="14" t="n">
        <x:f>H232-L232</x:f>
        <x:v>1174000</x:v>
      </x:c>
    </x:row>
    <x:row r="233">
      <x:c r="A233" t="str">
        <x:v>T0232</x:v>
      </x:c>
      <x:c r="B233" t="n">
        <x:v>5</x:v>
      </x:c>
      <x:c r="C233" t="str">
        <x:v>C019</x:v>
      </x:c>
      <x:c r="D233" t="str">
        <x:v>BPO</x:v>
      </x:c>
      <x:c r="E233" t="str">
        <x:v>Q2</x:v>
      </x:c>
      <x:c r="F233" t="str">
        <x:v>継続契約</x:v>
      </x:c>
      <x:c r="G233" t="str">
        <x:v>業務運用代行</x:v>
      </x:c>
      <x:c r="H233" s="16" t="n">
        <x:v>1201000</x:v>
      </x:c>
      <x:c r="I233" s="16" t="n">
        <x:v>236000</x:v>
      </x:c>
      <x:c r="J233" s="16" t="n">
        <x:v>40000</x:v>
      </x:c>
      <x:c r="K233" s="16" t="n">
        <x:v>34000</x:v>
      </x:c>
      <x:c r="L233" s="14" t="n">
        <x:f>SUM(I233:K233)</x:f>
        <x:v>310000</x:v>
      </x:c>
      <x:c r="M233" s="14" t="n">
        <x:f>H233-L233</x:f>
        <x:v>891000</x:v>
      </x:c>
    </x:row>
    <x:row r="234">
      <x:c r="A234" t="str">
        <x:v>T0233</x:v>
      </x:c>
      <x:c r="B234" t="n">
        <x:v>5</x:v>
      </x:c>
      <x:c r="C234" t="str">
        <x:v>C020</x:v>
      </x:c>
      <x:c r="D234" t="str">
        <x:v>BPO</x:v>
      </x:c>
      <x:c r="E234" t="str">
        <x:v>Q2</x:v>
      </x:c>
      <x:c r="F234" t="str">
        <x:v>継続契約</x:v>
      </x:c>
      <x:c r="G234" t="str">
        <x:v>業務運用代行</x:v>
      </x:c>
      <x:c r="H234" s="16" t="n">
        <x:v>1081000</x:v>
      </x:c>
      <x:c r="I234" s="16" t="n">
        <x:v>205000</x:v>
      </x:c>
      <x:c r="J234" s="16" t="n">
        <x:v>35000</x:v>
      </x:c>
      <x:c r="K234" s="16" t="n">
        <x:v>30000</x:v>
      </x:c>
      <x:c r="L234" s="14" t="n">
        <x:f>SUM(I234:K234)</x:f>
        <x:v>270000</x:v>
      </x:c>
      <x:c r="M234" s="14" t="n">
        <x:f>H234-L234</x:f>
        <x:v>811000</x:v>
      </x:c>
    </x:row>
    <x:row r="235">
      <x:c r="A235" t="str">
        <x:v>T0234</x:v>
      </x:c>
      <x:c r="B235" t="n">
        <x:v>5</x:v>
      </x:c>
      <x:c r="C235" t="str">
        <x:v>C020</x:v>
      </x:c>
      <x:c r="D235" t="str">
        <x:v>BPO</x:v>
      </x:c>
      <x:c r="E235" t="str">
        <x:v>Q2</x:v>
      </x:c>
      <x:c r="F235" t="str">
        <x:v>継続契約</x:v>
      </x:c>
      <x:c r="G235" t="str">
        <x:v>業務運用代行</x:v>
      </x:c>
      <x:c r="H235" s="16" t="n">
        <x:v>1334000</x:v>
      </x:c>
      <x:c r="I235" s="16" t="n">
        <x:v>267000</x:v>
      </x:c>
      <x:c r="J235" s="16" t="n">
        <x:v>46000</x:v>
      </x:c>
      <x:c r="K235" s="16" t="n">
        <x:v>38000</x:v>
      </x:c>
      <x:c r="L235" s="14" t="n">
        <x:f>SUM(I235:K235)</x:f>
        <x:v>351000</x:v>
      </x:c>
      <x:c r="M235" s="14" t="n">
        <x:f>H235-L235</x:f>
        <x:v>983000</x:v>
      </x:c>
    </x:row>
    <x:row r="236">
      <x:c r="A236" t="str">
        <x:v>T0235</x:v>
      </x:c>
      <x:c r="B236" t="n">
        <x:v>5</x:v>
      </x:c>
      <x:c r="C236" t="str">
        <x:v>C021</x:v>
      </x:c>
      <x:c r="D236" t="str">
        <x:v>BPO</x:v>
      </x:c>
      <x:c r="E236" t="str">
        <x:v>Q2</x:v>
      </x:c>
      <x:c r="F236" t="str">
        <x:v>継続契約</x:v>
      </x:c>
      <x:c r="G236" t="str">
        <x:v>業務運用代行</x:v>
      </x:c>
      <x:c r="H236" s="16" t="n">
        <x:v>1191000</x:v>
      </x:c>
      <x:c r="I236" s="16" t="n">
        <x:v>234000</x:v>
      </x:c>
      <x:c r="J236" s="16" t="n">
        <x:v>40000</x:v>
      </x:c>
      <x:c r="K236" s="16" t="n">
        <x:v>34000</x:v>
      </x:c>
      <x:c r="L236" s="14" t="n">
        <x:f>SUM(I236:K236)</x:f>
        <x:v>308000</x:v>
      </x:c>
      <x:c r="M236" s="14" t="n">
        <x:f>H236-L236</x:f>
        <x:v>883000</x:v>
      </x:c>
    </x:row>
    <x:row r="237">
      <x:c r="A237" t="str">
        <x:v>T0236</x:v>
      </x:c>
      <x:c r="B237" t="n">
        <x:v>5</x:v>
      </x:c>
      <x:c r="C237" t="str">
        <x:v>C022</x:v>
      </x:c>
      <x:c r="D237" t="str">
        <x:v>BPO</x:v>
      </x:c>
      <x:c r="E237" t="str">
        <x:v>Q2</x:v>
      </x:c>
      <x:c r="F237" t="str">
        <x:v>継続契約</x:v>
      </x:c>
      <x:c r="G237" t="str">
        <x:v>業務運用代行</x:v>
      </x:c>
      <x:c r="H237" s="16" t="n">
        <x:v>1302000</x:v>
      </x:c>
      <x:c r="I237" s="16" t="n">
        <x:v>255000</x:v>
      </x:c>
      <x:c r="J237" s="16" t="n">
        <x:v>44000</x:v>
      </x:c>
      <x:c r="K237" s="16" t="n">
        <x:v>37000</x:v>
      </x:c>
      <x:c r="L237" s="14" t="n">
        <x:f>SUM(I237:K237)</x:f>
        <x:v>336000</x:v>
      </x:c>
      <x:c r="M237" s="14" t="n">
        <x:f>H237-L237</x:f>
        <x:v>966000</x:v>
      </x:c>
    </x:row>
    <x:row r="238">
      <x:c r="A238" t="str">
        <x:v>T0237</x:v>
      </x:c>
      <x:c r="B238" t="n">
        <x:v>5</x:v>
      </x:c>
      <x:c r="C238" t="str">
        <x:v>C023</x:v>
      </x:c>
      <x:c r="D238" t="str">
        <x:v>BPO</x:v>
      </x:c>
      <x:c r="E238" t="str">
        <x:v>Q2</x:v>
      </x:c>
      <x:c r="F238" t="str">
        <x:v>継続契約</x:v>
      </x:c>
      <x:c r="G238" t="str">
        <x:v>業務運用代行</x:v>
      </x:c>
      <x:c r="H238" s="16" t="n">
        <x:v>1096000</x:v>
      </x:c>
      <x:c r="I238" s="16" t="n">
        <x:v>229000</x:v>
      </x:c>
      <x:c r="J238" s="16" t="n">
        <x:v>39000</x:v>
      </x:c>
      <x:c r="K238" s="16" t="n">
        <x:v>33000</x:v>
      </x:c>
      <x:c r="L238" s="14" t="n">
        <x:f>SUM(I238:K238)</x:f>
        <x:v>301000</x:v>
      </x:c>
      <x:c r="M238" s="14" t="n">
        <x:f>H238-L238</x:f>
        <x:v>795000</x:v>
      </x:c>
    </x:row>
    <x:row r="239">
      <x:c r="A239" t="str">
        <x:v>T0238</x:v>
      </x:c>
      <x:c r="B239" t="n">
        <x:v>5</x:v>
      </x:c>
      <x:c r="C239" t="str">
        <x:v>C025</x:v>
      </x:c>
      <x:c r="D239" t="str">
        <x:v>BPO</x:v>
      </x:c>
      <x:c r="E239" t="str">
        <x:v>Q2</x:v>
      </x:c>
      <x:c r="F239" t="str">
        <x:v>継続契約</x:v>
      </x:c>
      <x:c r="G239" t="str">
        <x:v>業務運用代行</x:v>
      </x:c>
      <x:c r="H239" s="16" t="n">
        <x:v>601000</x:v>
      </x:c>
      <x:c r="I239" s="16" t="n">
        <x:v>116000</x:v>
      </x:c>
      <x:c r="J239" s="16" t="n">
        <x:v>20000</x:v>
      </x:c>
      <x:c r="K239" s="16" t="n">
        <x:v>16000</x:v>
      </x:c>
      <x:c r="L239" s="14" t="n">
        <x:f>SUM(I239:K239)</x:f>
        <x:v>152000</x:v>
      </x:c>
      <x:c r="M239" s="14" t="n">
        <x:f>H239-L239</x:f>
        <x:v>449000</x:v>
      </x:c>
    </x:row>
    <x:row r="240">
      <x:c r="A240" t="str">
        <x:v>T0239</x:v>
      </x:c>
      <x:c r="B240" t="n">
        <x:v>5</x:v>
      </x:c>
      <x:c r="C240" t="str">
        <x:v>C025</x:v>
      </x:c>
      <x:c r="D240" t="str">
        <x:v>BPO</x:v>
      </x:c>
      <x:c r="E240" t="str">
        <x:v>Q2</x:v>
      </x:c>
      <x:c r="F240" t="str">
        <x:v>継続契約</x:v>
      </x:c>
      <x:c r="G240" t="str">
        <x:v>業務運用代行</x:v>
      </x:c>
      <x:c r="H240" s="16" t="n">
        <x:v>360000</x:v>
      </x:c>
      <x:c r="I240" s="16" t="n">
        <x:v>66000</x:v>
      </x:c>
      <x:c r="J240" s="16" t="n">
        <x:v>11000</x:v>
      </x:c>
      <x:c r="K240" s="16" t="n">
        <x:v>10000</x:v>
      </x:c>
      <x:c r="L240" s="14" t="n">
        <x:f>SUM(I240:K240)</x:f>
        <x:v>87000</x:v>
      </x:c>
      <x:c r="M240" s="14" t="n">
        <x:f>H240-L240</x:f>
        <x:v>273000</x:v>
      </x:c>
    </x:row>
    <x:row r="241">
      <x:c r="A241" t="str">
        <x:v>T0240</x:v>
      </x:c>
      <x:c r="B241" t="n">
        <x:v>5</x:v>
      </x:c>
      <x:c r="C241" t="str">
        <x:v>C026</x:v>
      </x:c>
      <x:c r="D241" t="str">
        <x:v>BPO</x:v>
      </x:c>
      <x:c r="E241" t="str">
        <x:v>Q2</x:v>
      </x:c>
      <x:c r="F241" t="str">
        <x:v>継続契約</x:v>
      </x:c>
      <x:c r="G241" t="str">
        <x:v>業務運用代行</x:v>
      </x:c>
      <x:c r="H241" s="16" t="n">
        <x:v>614000</x:v>
      </x:c>
      <x:c r="I241" s="16" t="n">
        <x:v>113000</x:v>
      </x:c>
      <x:c r="J241" s="16" t="n">
        <x:v>19000</x:v>
      </x:c>
      <x:c r="K241" s="16" t="n">
        <x:v>17000</x:v>
      </x:c>
      <x:c r="L241" s="14" t="n">
        <x:f>SUM(I241:K241)</x:f>
        <x:v>149000</x:v>
      </x:c>
      <x:c r="M241" s="14" t="n">
        <x:f>H241-L241</x:f>
        <x:v>465000</x:v>
      </x:c>
    </x:row>
    <x:row r="242">
      <x:c r="A242" t="str">
        <x:v>T0241</x:v>
      </x:c>
      <x:c r="B242" t="n">
        <x:v>5</x:v>
      </x:c>
      <x:c r="C242" t="str">
        <x:v>C026</x:v>
      </x:c>
      <x:c r="D242" t="str">
        <x:v>BPO</x:v>
      </x:c>
      <x:c r="E242" t="str">
        <x:v>Q2</x:v>
      </x:c>
      <x:c r="F242" t="str">
        <x:v>継続契約</x:v>
      </x:c>
      <x:c r="G242" t="str">
        <x:v>業務運用代行</x:v>
      </x:c>
      <x:c r="H242" s="16" t="n">
        <x:v>735000</x:v>
      </x:c>
      <x:c r="I242" s="16" t="n">
        <x:v>151000</x:v>
      </x:c>
      <x:c r="J242" s="16" t="n">
        <x:v>26000</x:v>
      </x:c>
      <x:c r="K242" s="16" t="n">
        <x:v>22000</x:v>
      </x:c>
      <x:c r="L242" s="14" t="n">
        <x:f>SUM(I242:K242)</x:f>
        <x:v>199000</x:v>
      </x:c>
      <x:c r="M242" s="14" t="n">
        <x:f>H242-L242</x:f>
        <x:v>536000</x:v>
      </x:c>
    </x:row>
    <x:row r="243">
      <x:c r="A243" t="str">
        <x:v>T0242</x:v>
      </x:c>
      <x:c r="B243" t="n">
        <x:v>5</x:v>
      </x:c>
      <x:c r="C243" t="str">
        <x:v>C027</x:v>
      </x:c>
      <x:c r="D243" t="str">
        <x:v>BPO</x:v>
      </x:c>
      <x:c r="E243" t="str">
        <x:v>Q2</x:v>
      </x:c>
      <x:c r="F243" t="str">
        <x:v>継続契約</x:v>
      </x:c>
      <x:c r="G243" t="str">
        <x:v>業務運用代行</x:v>
      </x:c>
      <x:c r="H243" s="16" t="n">
        <x:v>1048000</x:v>
      </x:c>
      <x:c r="I243" s="16" t="n">
        <x:v>169000</x:v>
      </x:c>
      <x:c r="J243" s="16" t="n">
        <x:v>29000</x:v>
      </x:c>
      <x:c r="K243" s="16" t="n">
        <x:v>24000</x:v>
      </x:c>
      <x:c r="L243" s="14" t="n">
        <x:f>SUM(I243:K243)</x:f>
        <x:v>222000</x:v>
      </x:c>
      <x:c r="M243" s="14" t="n">
        <x:f>H243-L243</x:f>
        <x:v>826000</x:v>
      </x:c>
    </x:row>
    <x:row r="244">
      <x:c r="A244" t="str">
        <x:v>T0243</x:v>
      </x:c>
      <x:c r="B244" t="n">
        <x:v>5</x:v>
      </x:c>
      <x:c r="C244" t="str">
        <x:v>C028</x:v>
      </x:c>
      <x:c r="D244" t="str">
        <x:v>BPO</x:v>
      </x:c>
      <x:c r="E244" t="str">
        <x:v>Q2</x:v>
      </x:c>
      <x:c r="F244" t="str">
        <x:v>継続契約</x:v>
      </x:c>
      <x:c r="G244" t="str">
        <x:v>業務運用代行</x:v>
      </x:c>
      <x:c r="H244" s="16" t="n">
        <x:v>1500000</x:v>
      </x:c>
      <x:c r="I244" s="16" t="n">
        <x:v>257000</x:v>
      </x:c>
      <x:c r="J244" s="16" t="n">
        <x:v>44000</x:v>
      </x:c>
      <x:c r="K244" s="16" t="n">
        <x:v>37000</x:v>
      </x:c>
      <x:c r="L244" s="14" t="n">
        <x:f>SUM(I244:K244)</x:f>
        <x:v>338000</x:v>
      </x:c>
      <x:c r="M244" s="14" t="n">
        <x:f>H244-L244</x:f>
        <x:v>1162000</x:v>
      </x:c>
    </x:row>
    <x:row r="245">
      <x:c r="A245" t="str">
        <x:v>T0244</x:v>
      </x:c>
      <x:c r="B245" t="n">
        <x:v>5</x:v>
      </x:c>
      <x:c r="C245" t="str">
        <x:v>C029</x:v>
      </x:c>
      <x:c r="D245" t="str">
        <x:v>BPO</x:v>
      </x:c>
      <x:c r="E245" t="str">
        <x:v>Q2</x:v>
      </x:c>
      <x:c r="F245" t="str">
        <x:v>継続契約</x:v>
      </x:c>
      <x:c r="G245" t="str">
        <x:v>業務運用代行</x:v>
      </x:c>
      <x:c r="H245" s="16" t="n">
        <x:v>459000</x:v>
      </x:c>
      <x:c r="I245" s="16" t="n">
        <x:v>81000</x:v>
      </x:c>
      <x:c r="J245" s="16" t="n">
        <x:v>14000</x:v>
      </x:c>
      <x:c r="K245" s="16" t="n">
        <x:v>11000</x:v>
      </x:c>
      <x:c r="L245" s="14" t="n">
        <x:f>SUM(I245:K245)</x:f>
        <x:v>106000</x:v>
      </x:c>
      <x:c r="M245" s="14" t="n">
        <x:f>H245-L245</x:f>
        <x:v>353000</x:v>
      </x:c>
    </x:row>
    <x:row r="246">
      <x:c r="A246" t="str">
        <x:v>T0245</x:v>
      </x:c>
      <x:c r="B246" t="n">
        <x:v>5</x:v>
      </x:c>
      <x:c r="C246" t="str">
        <x:v>C029</x:v>
      </x:c>
      <x:c r="D246" t="str">
        <x:v>BPO</x:v>
      </x:c>
      <x:c r="E246" t="str">
        <x:v>Q2</x:v>
      </x:c>
      <x:c r="F246" t="str">
        <x:v>継続契約</x:v>
      </x:c>
      <x:c r="G246" t="str">
        <x:v>業務運用代行</x:v>
      </x:c>
      <x:c r="H246" s="16" t="n">
        <x:v>512000</x:v>
      </x:c>
      <x:c r="I246" s="16" t="n">
        <x:v>93000</x:v>
      </x:c>
      <x:c r="J246" s="16" t="n">
        <x:v>16000</x:v>
      </x:c>
      <x:c r="K246" s="16" t="n">
        <x:v>13000</x:v>
      </x:c>
      <x:c r="L246" s="14" t="n">
        <x:f>SUM(I246:K246)</x:f>
        <x:v>122000</x:v>
      </x:c>
      <x:c r="M246" s="14" t="n">
        <x:f>H246-L246</x:f>
        <x:v>390000</x:v>
      </x:c>
    </x:row>
    <x:row r="247">
      <x:c r="A247" t="str">
        <x:v>T0246</x:v>
      </x:c>
      <x:c r="B247" t="n">
        <x:v>5</x:v>
      </x:c>
      <x:c r="C247" t="str">
        <x:v>C030</x:v>
      </x:c>
      <x:c r="D247" t="str">
        <x:v>BPO</x:v>
      </x:c>
      <x:c r="E247" t="str">
        <x:v>Q2</x:v>
      </x:c>
      <x:c r="F247" t="str">
        <x:v>継続契約</x:v>
      </x:c>
      <x:c r="G247" t="str">
        <x:v>業務運用代行</x:v>
      </x:c>
      <x:c r="H247" s="16" t="n">
        <x:v>1455000</x:v>
      </x:c>
      <x:c r="I247" s="16" t="n">
        <x:v>296000</x:v>
      </x:c>
      <x:c r="J247" s="16" t="n">
        <x:v>51000</x:v>
      </x:c>
      <x:c r="K247" s="16" t="n">
        <x:v>43000</x:v>
      </x:c>
      <x:c r="L247" s="14" t="n">
        <x:f>SUM(I247:K247)</x:f>
        <x:v>390000</x:v>
      </x:c>
      <x:c r="M247" s="14" t="n">
        <x:f>H247-L247</x:f>
        <x:v>1065000</x:v>
      </x:c>
    </x:row>
    <x:row r="248">
      <x:c r="A248" t="str">
        <x:v>T0247</x:v>
      </x:c>
      <x:c r="B248" t="n">
        <x:v>5</x:v>
      </x:c>
      <x:c r="C248" t="str">
        <x:v>C031</x:v>
      </x:c>
      <x:c r="D248" t="str">
        <x:v>BPO</x:v>
      </x:c>
      <x:c r="E248" t="str">
        <x:v>Q2</x:v>
      </x:c>
      <x:c r="F248" t="str">
        <x:v>継続契約</x:v>
      </x:c>
      <x:c r="G248" t="str">
        <x:v>業務運用代行</x:v>
      </x:c>
      <x:c r="H248" s="16" t="n">
        <x:v>1507000</x:v>
      </x:c>
      <x:c r="I248" s="16" t="n">
        <x:v>315000</x:v>
      </x:c>
      <x:c r="J248" s="16" t="n">
        <x:v>54000</x:v>
      </x:c>
      <x:c r="K248" s="16" t="n">
        <x:v>45000</x:v>
      </x:c>
      <x:c r="L248" s="14" t="n">
        <x:f>SUM(I248:K248)</x:f>
        <x:v>414000</x:v>
      </x:c>
      <x:c r="M248" s="14" t="n">
        <x:f>H248-L248</x:f>
        <x:v>1093000</x:v>
      </x:c>
    </x:row>
    <x:row r="249">
      <x:c r="A249" t="str">
        <x:v>T0248</x:v>
      </x:c>
      <x:c r="B249" t="n">
        <x:v>5</x:v>
      </x:c>
      <x:c r="C249" t="str">
        <x:v>C032</x:v>
      </x:c>
      <x:c r="D249" t="str">
        <x:v>BPO</x:v>
      </x:c>
      <x:c r="E249" t="str">
        <x:v>Q2</x:v>
      </x:c>
      <x:c r="F249" t="str">
        <x:v>継続契約</x:v>
      </x:c>
      <x:c r="G249" t="str">
        <x:v>業務運用代行</x:v>
      </x:c>
      <x:c r="H249" s="16" t="n">
        <x:v>1256000</x:v>
      </x:c>
      <x:c r="I249" s="16" t="n">
        <x:v>210000</x:v>
      </x:c>
      <x:c r="J249" s="16" t="n">
        <x:v>36000</x:v>
      </x:c>
      <x:c r="K249" s="16" t="n">
        <x:v>30000</x:v>
      </x:c>
      <x:c r="L249" s="14" t="n">
        <x:f>SUM(I249:K249)</x:f>
        <x:v>276000</x:v>
      </x:c>
      <x:c r="M249" s="14" t="n">
        <x:f>H249-L249</x:f>
        <x:v>980000</x:v>
      </x:c>
    </x:row>
    <x:row r="250">
      <x:c r="A250" t="str">
        <x:v>T0249</x:v>
      </x:c>
      <x:c r="B250" t="n">
        <x:v>5</x:v>
      </x:c>
      <x:c r="C250" t="str">
        <x:v>C033</x:v>
      </x:c>
      <x:c r="D250" t="str">
        <x:v>BPO</x:v>
      </x:c>
      <x:c r="E250" t="str">
        <x:v>Q2</x:v>
      </x:c>
      <x:c r="F250" t="str">
        <x:v>継続契約</x:v>
      </x:c>
      <x:c r="G250" t="str">
        <x:v>業務運用代行</x:v>
      </x:c>
      <x:c r="H250" s="16" t="n">
        <x:v>1226000</x:v>
      </x:c>
      <x:c r="I250" s="16" t="n">
        <x:v>232000</x:v>
      </x:c>
      <x:c r="J250" s="16" t="n">
        <x:v>40000</x:v>
      </x:c>
      <x:c r="K250" s="16" t="n">
        <x:v>33000</x:v>
      </x:c>
      <x:c r="L250" s="14" t="n">
        <x:f>SUM(I250:K250)</x:f>
        <x:v>305000</x:v>
      </x:c>
      <x:c r="M250" s="14" t="n">
        <x:f>H250-L250</x:f>
        <x:v>921000</x:v>
      </x:c>
    </x:row>
    <x:row r="251">
      <x:c r="A251" t="str">
        <x:v>T0250</x:v>
      </x:c>
      <x:c r="B251" t="n">
        <x:v>5</x:v>
      </x:c>
      <x:c r="C251" t="str">
        <x:v>C034</x:v>
      </x:c>
      <x:c r="D251" t="str">
        <x:v>TRN</x:v>
      </x:c>
      <x:c r="E251" t="str">
        <x:v>Q2</x:v>
      </x:c>
      <x:c r="F251" t="str">
        <x:v>継続契約</x:v>
      </x:c>
      <x:c r="G251" t="str">
        <x:v>研修プログラム</x:v>
      </x:c>
      <x:c r="H251" s="16" t="n">
        <x:v>1397000</x:v>
      </x:c>
      <x:c r="I251" s="16" t="n">
        <x:v>75000</x:v>
      </x:c>
      <x:c r="J251" s="16" t="n">
        <x:v>38000</x:v>
      </x:c>
      <x:c r="K251" s="16" t="n">
        <x:v>96000</x:v>
      </x:c>
      <x:c r="L251" s="14" t="n">
        <x:f>SUM(I251:K251)</x:f>
        <x:v>209000</x:v>
      </x:c>
      <x:c r="M251" s="14" t="n">
        <x:f>H251-L251</x:f>
        <x:v>1188000</x:v>
      </x:c>
    </x:row>
    <x:row r="252">
      <x:c r="A252" t="str">
        <x:v>T0251</x:v>
      </x:c>
      <x:c r="B252" t="n">
        <x:v>5</x:v>
      </x:c>
      <x:c r="C252" t="str">
        <x:v>C035</x:v>
      </x:c>
      <x:c r="D252" t="str">
        <x:v>TRN</x:v>
      </x:c>
      <x:c r="E252" t="str">
        <x:v>Q2</x:v>
      </x:c>
      <x:c r="F252" t="str">
        <x:v>スポット中心</x:v>
      </x:c>
      <x:c r="G252" t="str">
        <x:v>研修プログラム</x:v>
      </x:c>
      <x:c r="H252" s="16" t="n">
        <x:v>662000</x:v>
      </x:c>
      <x:c r="I252" s="16" t="n">
        <x:v>33000</x:v>
      </x:c>
      <x:c r="J252" s="16" t="n">
        <x:v>17000</x:v>
      </x:c>
      <x:c r="K252" s="16" t="n">
        <x:v>43000</x:v>
      </x:c>
      <x:c r="L252" s="14" t="n">
        <x:f>SUM(I252:K252)</x:f>
        <x:v>93000</x:v>
      </x:c>
      <x:c r="M252" s="14" t="n">
        <x:f>H252-L252</x:f>
        <x:v>569000</x:v>
      </x:c>
    </x:row>
    <x:row r="253">
      <x:c r="A253" t="str">
        <x:v>T0252</x:v>
      </x:c>
      <x:c r="B253" t="n">
        <x:v>5</x:v>
      </x:c>
      <x:c r="C253" t="str">
        <x:v>C035</x:v>
      </x:c>
      <x:c r="D253" t="str">
        <x:v>TRN</x:v>
      </x:c>
      <x:c r="E253" t="str">
        <x:v>Q2</x:v>
      </x:c>
      <x:c r="F253" t="str">
        <x:v>スポット中心</x:v>
      </x:c>
      <x:c r="G253" t="str">
        <x:v>研修プログラム</x:v>
      </x:c>
      <x:c r="H253" s="16" t="n">
        <x:v>597000</x:v>
      </x:c>
      <x:c r="I253" s="16" t="n">
        <x:v>45000</x:v>
      </x:c>
      <x:c r="J253" s="16" t="n">
        <x:v>22000</x:v>
      </x:c>
      <x:c r="K253" s="16" t="n">
        <x:v>57000</x:v>
      </x:c>
      <x:c r="L253" s="14" t="n">
        <x:f>SUM(I253:K253)</x:f>
        <x:v>124000</x:v>
      </x:c>
      <x:c r="M253" s="14" t="n">
        <x:f>H253-L253</x:f>
        <x:v>473000</x:v>
      </x:c>
    </x:row>
    <x:row r="254">
      <x:c r="A254" t="str">
        <x:v>T0253</x:v>
      </x:c>
      <x:c r="B254" t="n">
        <x:v>5</x:v>
      </x:c>
      <x:c r="C254" t="str">
        <x:v>C036</x:v>
      </x:c>
      <x:c r="D254" t="str">
        <x:v>TRN</x:v>
      </x:c>
      <x:c r="E254" t="str">
        <x:v>Q2</x:v>
      </x:c>
      <x:c r="F254" t="str">
        <x:v>継続契約</x:v>
      </x:c>
      <x:c r="G254" t="str">
        <x:v>研修プログラム</x:v>
      </x:c>
      <x:c r="H254" s="16" t="n">
        <x:v>660000</x:v>
      </x:c>
      <x:c r="I254" s="16" t="n">
        <x:v>36000</x:v>
      </x:c>
      <x:c r="J254" s="16" t="n">
        <x:v>18000</x:v>
      </x:c>
      <x:c r="K254" s="16" t="n">
        <x:v>47000</x:v>
      </x:c>
      <x:c r="L254" s="14" t="n">
        <x:f>SUM(I254:K254)</x:f>
        <x:v>101000</x:v>
      </x:c>
      <x:c r="M254" s="14" t="n">
        <x:f>H254-L254</x:f>
        <x:v>559000</x:v>
      </x:c>
    </x:row>
    <x:row r="255">
      <x:c r="A255" t="str">
        <x:v>T0254</x:v>
      </x:c>
      <x:c r="B255" t="n">
        <x:v>5</x:v>
      </x:c>
      <x:c r="C255" t="str">
        <x:v>C036</x:v>
      </x:c>
      <x:c r="D255" t="str">
        <x:v>TRN</x:v>
      </x:c>
      <x:c r="E255" t="str">
        <x:v>Q2</x:v>
      </x:c>
      <x:c r="F255" t="str">
        <x:v>継続契約</x:v>
      </x:c>
      <x:c r="G255" t="str">
        <x:v>研修プログラム</x:v>
      </x:c>
      <x:c r="H255" s="16" t="n">
        <x:v>764000</x:v>
      </x:c>
      <x:c r="I255" s="16" t="n">
        <x:v>35000</x:v>
      </x:c>
      <x:c r="J255" s="16" t="n">
        <x:v>18000</x:v>
      </x:c>
      <x:c r="K255" s="16" t="n">
        <x:v>45000</x:v>
      </x:c>
      <x:c r="L255" s="14" t="n">
        <x:f>SUM(I255:K255)</x:f>
        <x:v>98000</x:v>
      </x:c>
      <x:c r="M255" s="14" t="n">
        <x:f>H255-L255</x:f>
        <x:v>666000</x:v>
      </x:c>
    </x:row>
    <x:row r="256">
      <x:c r="A256" t="str">
        <x:v>T0255</x:v>
      </x:c>
      <x:c r="B256" t="n">
        <x:v>5</x:v>
      </x:c>
      <x:c r="C256" t="str">
        <x:v>C037</x:v>
      </x:c>
      <x:c r="D256" t="str">
        <x:v>TRN</x:v>
      </x:c>
      <x:c r="E256" t="str">
        <x:v>Q2</x:v>
      </x:c>
      <x:c r="F256" t="str">
        <x:v>継続契約</x:v>
      </x:c>
      <x:c r="G256" t="str">
        <x:v>研修プログラム</x:v>
      </x:c>
      <x:c r="H256" s="16" t="n">
        <x:v>1135000</x:v>
      </x:c>
      <x:c r="I256" s="16" t="n">
        <x:v>50000</x:v>
      </x:c>
      <x:c r="J256" s="16" t="n">
        <x:v>25000</x:v>
      </x:c>
      <x:c r="K256" s="16" t="n">
        <x:v>64000</x:v>
      </x:c>
      <x:c r="L256" s="14" t="n">
        <x:f>SUM(I256:K256)</x:f>
        <x:v>139000</x:v>
      </x:c>
      <x:c r="M256" s="14" t="n">
        <x:f>H256-L256</x:f>
        <x:v>996000</x:v>
      </x:c>
    </x:row>
    <x:row r="257">
      <x:c r="A257" t="str">
        <x:v>T0256</x:v>
      </x:c>
      <x:c r="B257" t="n">
        <x:v>5</x:v>
      </x:c>
      <x:c r="C257" t="str">
        <x:v>C038</x:v>
      </x:c>
      <x:c r="D257" t="str">
        <x:v>TRN</x:v>
      </x:c>
      <x:c r="E257" t="str">
        <x:v>Q2</x:v>
      </x:c>
      <x:c r="F257" t="str">
        <x:v>継続契約</x:v>
      </x:c>
      <x:c r="G257" t="str">
        <x:v>研修プログラム</x:v>
      </x:c>
      <x:c r="H257" s="16" t="n">
        <x:v>1342000</x:v>
      </x:c>
      <x:c r="I257" s="16" t="n">
        <x:v>102000</x:v>
      </x:c>
      <x:c r="J257" s="16" t="n">
        <x:v>51000</x:v>
      </x:c>
      <x:c r="K257" s="16" t="n">
        <x:v>131000</x:v>
      </x:c>
      <x:c r="L257" s="14" t="n">
        <x:f>SUM(I257:K257)</x:f>
        <x:v>284000</x:v>
      </x:c>
      <x:c r="M257" s="14" t="n">
        <x:f>H257-L257</x:f>
        <x:v>1058000</x:v>
      </x:c>
    </x:row>
    <x:row r="258">
      <x:c r="A258" t="str">
        <x:v>T0257</x:v>
      </x:c>
      <x:c r="B258" t="n">
        <x:v>5</x:v>
      </x:c>
      <x:c r="C258" t="str">
        <x:v>C039</x:v>
      </x:c>
      <x:c r="D258" t="str">
        <x:v>TRN</x:v>
      </x:c>
      <x:c r="E258" t="str">
        <x:v>Q2</x:v>
      </x:c>
      <x:c r="F258" t="str">
        <x:v>継続契約</x:v>
      </x:c>
      <x:c r="G258" t="str">
        <x:v>研修プログラム</x:v>
      </x:c>
      <x:c r="H258" s="16" t="n">
        <x:v>1375000</x:v>
      </x:c>
      <x:c r="I258" s="16" t="n">
        <x:v>101000</x:v>
      </x:c>
      <x:c r="J258" s="16" t="n">
        <x:v>50000</x:v>
      </x:c>
      <x:c r="K258" s="16" t="n">
        <x:v>129000</x:v>
      </x:c>
      <x:c r="L258" s="14" t="n">
        <x:f>SUM(I258:K258)</x:f>
        <x:v>280000</x:v>
      </x:c>
      <x:c r="M258" s="14" t="n">
        <x:f>H258-L258</x:f>
        <x:v>1095000</x:v>
      </x:c>
    </x:row>
    <x:row r="259">
      <x:c r="A259" t="str">
        <x:v>T0258</x:v>
      </x:c>
      <x:c r="B259" t="n">
        <x:v>5</x:v>
      </x:c>
      <x:c r="C259" t="str">
        <x:v>C041</x:v>
      </x:c>
      <x:c r="D259" t="str">
        <x:v>TRN</x:v>
      </x:c>
      <x:c r="E259" t="str">
        <x:v>Q2</x:v>
      </x:c>
      <x:c r="F259" t="str">
        <x:v>継続契約</x:v>
      </x:c>
      <x:c r="G259" t="str">
        <x:v>研修プログラム</x:v>
      </x:c>
      <x:c r="H259" s="16" t="n">
        <x:v>1444000</x:v>
      </x:c>
      <x:c r="I259" s="16" t="n">
        <x:v>105000</x:v>
      </x:c>
      <x:c r="J259" s="16" t="n">
        <x:v>53000</x:v>
      </x:c>
      <x:c r="K259" s="16" t="n">
        <x:v>135000</x:v>
      </x:c>
      <x:c r="L259" s="14" t="n">
        <x:f>SUM(I259:K259)</x:f>
        <x:v>293000</x:v>
      </x:c>
      <x:c r="M259" s="14" t="n">
        <x:f>H259-L259</x:f>
        <x:v>1151000</x:v>
      </x:c>
    </x:row>
    <x:row r="260">
      <x:c r="A260" t="str">
        <x:v>T0259</x:v>
      </x:c>
      <x:c r="B260" t="n">
        <x:v>5</x:v>
      </x:c>
      <x:c r="C260" t="str">
        <x:v>C042</x:v>
      </x:c>
      <x:c r="D260" t="str">
        <x:v>TRN</x:v>
      </x:c>
      <x:c r="E260" t="str">
        <x:v>Q2</x:v>
      </x:c>
      <x:c r="F260" t="str">
        <x:v>継続契約</x:v>
      </x:c>
      <x:c r="G260" t="str">
        <x:v>研修プログラム</x:v>
      </x:c>
      <x:c r="H260" s="16" t="n">
        <x:v>875000</x:v>
      </x:c>
      <x:c r="I260" s="16" t="n">
        <x:v>71000</x:v>
      </x:c>
      <x:c r="J260" s="16" t="n">
        <x:v>35000</x:v>
      </x:c>
      <x:c r="K260" s="16" t="n">
        <x:v>91000</x:v>
      </x:c>
      <x:c r="L260" s="14" t="n">
        <x:f>SUM(I260:K260)</x:f>
        <x:v>197000</x:v>
      </x:c>
      <x:c r="M260" s="14" t="n">
        <x:f>H260-L260</x:f>
        <x:v>678000</x:v>
      </x:c>
    </x:row>
    <x:row r="261">
      <x:c r="A261" t="str">
        <x:v>T0260</x:v>
      </x:c>
      <x:c r="B261" t="n">
        <x:v>5</x:v>
      </x:c>
      <x:c r="C261" t="str">
        <x:v>C043</x:v>
      </x:c>
      <x:c r="D261" t="str">
        <x:v>TRN</x:v>
      </x:c>
      <x:c r="E261" t="str">
        <x:v>Q2</x:v>
      </x:c>
      <x:c r="F261" t="str">
        <x:v>継続契約</x:v>
      </x:c>
      <x:c r="G261" t="str">
        <x:v>研修プログラム</x:v>
      </x:c>
      <x:c r="H261" s="16" t="n">
        <x:v>975000</x:v>
      </x:c>
      <x:c r="I261" s="16" t="n">
        <x:v>66000</x:v>
      </x:c>
      <x:c r="J261" s="16" t="n">
        <x:v>33000</x:v>
      </x:c>
      <x:c r="K261" s="16" t="n">
        <x:v>85000</x:v>
      </x:c>
      <x:c r="L261" s="14" t="n">
        <x:f>SUM(I261:K261)</x:f>
        <x:v>184000</x:v>
      </x:c>
      <x:c r="M261" s="14" t="n">
        <x:f>H261-L261</x:f>
        <x:v>791000</x:v>
      </x:c>
    </x:row>
    <x:row r="262">
      <x:c r="A262" t="str">
        <x:v>T0261</x:v>
      </x:c>
      <x:c r="B262" t="n">
        <x:v>5</x:v>
      </x:c>
      <x:c r="C262" t="str">
        <x:v>C044</x:v>
      </x:c>
      <x:c r="D262" t="str">
        <x:v>TRN</x:v>
      </x:c>
      <x:c r="E262" t="str">
        <x:v>Q2</x:v>
      </x:c>
      <x:c r="F262" t="str">
        <x:v>継続契約</x:v>
      </x:c>
      <x:c r="G262" t="str">
        <x:v>研修プログラム</x:v>
      </x:c>
      <x:c r="H262" s="16" t="n">
        <x:v>1458000</x:v>
      </x:c>
      <x:c r="I262" s="16" t="n">
        <x:v>118000</x:v>
      </x:c>
      <x:c r="J262" s="16" t="n">
        <x:v>59000</x:v>
      </x:c>
      <x:c r="K262" s="16" t="n">
        <x:v>152000</x:v>
      </x:c>
      <x:c r="L262" s="14" t="n">
        <x:f>SUM(I262:K262)</x:f>
        <x:v>329000</x:v>
      </x:c>
      <x:c r="M262" s="14" t="n">
        <x:f>H262-L262</x:f>
        <x:v>1129000</x:v>
      </x:c>
    </x:row>
    <x:row r="263">
      <x:c r="A263" t="str">
        <x:v>T0262</x:v>
      </x:c>
      <x:c r="B263" t="n">
        <x:v>5</x:v>
      </x:c>
      <x:c r="C263" t="str">
        <x:v>C045</x:v>
      </x:c>
      <x:c r="D263" t="str">
        <x:v>TRN</x:v>
      </x:c>
      <x:c r="E263" t="str">
        <x:v>Q2</x:v>
      </x:c>
      <x:c r="F263" t="str">
        <x:v>スポット中心</x:v>
      </x:c>
      <x:c r="G263" t="str">
        <x:v>研修プログラム</x:v>
      </x:c>
      <x:c r="H263" s="16" t="n">
        <x:v>1351000</x:v>
      </x:c>
      <x:c r="I263" s="16" t="n">
        <x:v>71000</x:v>
      </x:c>
      <x:c r="J263" s="16" t="n">
        <x:v>35000</x:v>
      </x:c>
      <x:c r="K263" s="16" t="n">
        <x:v>90000</x:v>
      </x:c>
      <x:c r="L263" s="14" t="n">
        <x:f>SUM(I263:K263)</x:f>
        <x:v>196000</x:v>
      </x:c>
      <x:c r="M263" s="14" t="n">
        <x:f>H263-L263</x:f>
        <x:v>1155000</x:v>
      </x:c>
    </x:row>
    <x:row r="264">
      <x:c r="A264" t="str">
        <x:v>T0263</x:v>
      </x:c>
      <x:c r="B264" t="n">
        <x:v>6</x:v>
      </x:c>
      <x:c r="C264" t="str">
        <x:v>C001</x:v>
      </x:c>
      <x:c r="D264" t="str">
        <x:v>IT</x:v>
      </x:c>
      <x:c r="E264" t="str">
        <x:v>Q2</x:v>
      </x:c>
      <x:c r="F264" t="str">
        <x:v>継続契約</x:v>
      </x:c>
      <x:c r="G264" t="str">
        <x:v>導入・運用支援</x:v>
      </x:c>
      <x:c r="H264" s="16" t="n">
        <x:v>7260000</x:v>
      </x:c>
      <x:c r="I264" s="16" t="n">
        <x:v>1636000</x:v>
      </x:c>
      <x:c r="J264" s="16" t="n">
        <x:v>1041000</x:v>
      </x:c>
      <x:c r="K264" s="16" t="n">
        <x:v>297000</x:v>
      </x:c>
      <x:c r="L264" s="14" t="n">
        <x:f>SUM(I264:K264)</x:f>
        <x:v>2974000</x:v>
      </x:c>
      <x:c r="M264" s="14" t="n">
        <x:f>H264-L264</x:f>
        <x:v>4286000</x:v>
      </x:c>
    </x:row>
    <x:row r="265">
      <x:c r="A265" t="str">
        <x:v>T0264</x:v>
      </x:c>
      <x:c r="B265" t="n">
        <x:v>6</x:v>
      </x:c>
      <x:c r="C265" t="str">
        <x:v>C002</x:v>
      </x:c>
      <x:c r="D265" t="str">
        <x:v>IT</x:v>
      </x:c>
      <x:c r="E265" t="str">
        <x:v>Q2</x:v>
      </x:c>
      <x:c r="F265" t="str">
        <x:v>継続契約</x:v>
      </x:c>
      <x:c r="G265" t="str">
        <x:v>導入・運用支援</x:v>
      </x:c>
      <x:c r="H265" s="16" t="n">
        <x:v>3450000</x:v>
      </x:c>
      <x:c r="I265" s="16" t="n">
        <x:v>631000</x:v>
      </x:c>
      <x:c r="J265" s="16" t="n">
        <x:v>401000</x:v>
      </x:c>
      <x:c r="K265" s="16" t="n">
        <x:v>115000</x:v>
      </x:c>
      <x:c r="L265" s="14" t="n">
        <x:f>SUM(I265:K265)</x:f>
        <x:v>1147000</x:v>
      </x:c>
      <x:c r="M265" s="14" t="n">
        <x:f>H265-L265</x:f>
        <x:v>2303000</x:v>
      </x:c>
    </x:row>
    <x:row r="266">
      <x:c r="A266" t="str">
        <x:v>T0265</x:v>
      </x:c>
      <x:c r="B266" t="n">
        <x:v>6</x:v>
      </x:c>
      <x:c r="C266" t="str">
        <x:v>C004</x:v>
      </x:c>
      <x:c r="D266" t="str">
        <x:v>IT</x:v>
      </x:c>
      <x:c r="E266" t="str">
        <x:v>Q2</x:v>
      </x:c>
      <x:c r="F266" t="str">
        <x:v>継続契約</x:v>
      </x:c>
      <x:c r="G266" t="str">
        <x:v>導入・運用支援</x:v>
      </x:c>
      <x:c r="H266" s="16" t="n">
        <x:v>1098000</x:v>
      </x:c>
      <x:c r="I266" s="16" t="n">
        <x:v>193000</x:v>
      </x:c>
      <x:c r="J266" s="16" t="n">
        <x:v>123000</x:v>
      </x:c>
      <x:c r="K266" s="16" t="n">
        <x:v>35000</x:v>
      </x:c>
      <x:c r="L266" s="14" t="n">
        <x:f>SUM(I266:K266)</x:f>
        <x:v>351000</x:v>
      </x:c>
      <x:c r="M266" s="14" t="n">
        <x:f>H266-L266</x:f>
        <x:v>747000</x:v>
      </x:c>
    </x:row>
    <x:row r="267">
      <x:c r="A267" t="str">
        <x:v>T0266</x:v>
      </x:c>
      <x:c r="B267" t="n">
        <x:v>6</x:v>
      </x:c>
      <x:c r="C267" t="str">
        <x:v>C006</x:v>
      </x:c>
      <x:c r="D267" t="str">
        <x:v>IT</x:v>
      </x:c>
      <x:c r="E267" t="str">
        <x:v>Q2</x:v>
      </x:c>
      <x:c r="F267" t="str">
        <x:v>継続契約</x:v>
      </x:c>
      <x:c r="G267" t="str">
        <x:v>導入・運用支援</x:v>
      </x:c>
      <x:c r="H267" s="16" t="n">
        <x:v>598000</x:v>
      </x:c>
      <x:c r="I267" s="16" t="n">
        <x:v>101000</x:v>
      </x:c>
      <x:c r="J267" s="16" t="n">
        <x:v>64000</x:v>
      </x:c>
      <x:c r="K267" s="16" t="n">
        <x:v>18000</x:v>
      </x:c>
      <x:c r="L267" s="14" t="n">
        <x:f>SUM(I267:K267)</x:f>
        <x:v>183000</x:v>
      </x:c>
      <x:c r="M267" s="14" t="n">
        <x:f>H267-L267</x:f>
        <x:v>415000</x:v>
      </x:c>
    </x:row>
    <x:row r="268">
      <x:c r="A268" t="str">
        <x:v>T0267</x:v>
      </x:c>
      <x:c r="B268" t="n">
        <x:v>6</x:v>
      </x:c>
      <x:c r="C268" t="str">
        <x:v>C006</x:v>
      </x:c>
      <x:c r="D268" t="str">
        <x:v>IT</x:v>
      </x:c>
      <x:c r="E268" t="str">
        <x:v>Q2</x:v>
      </x:c>
      <x:c r="F268" t="str">
        <x:v>継続契約</x:v>
      </x:c>
      <x:c r="G268" t="str">
        <x:v>導入・運用支援</x:v>
      </x:c>
      <x:c r="H268" s="16" t="n">
        <x:v>748000</x:v>
      </x:c>
      <x:c r="I268" s="16" t="n">
        <x:v>135000</x:v>
      </x:c>
      <x:c r="J268" s="16" t="n">
        <x:v>86000</x:v>
      </x:c>
      <x:c r="K268" s="16" t="n">
        <x:v>24000</x:v>
      </x:c>
      <x:c r="L268" s="14" t="n">
        <x:f>SUM(I268:K268)</x:f>
        <x:v>245000</x:v>
      </x:c>
      <x:c r="M268" s="14" t="n">
        <x:f>H268-L268</x:f>
        <x:v>503000</x:v>
      </x:c>
    </x:row>
    <x:row r="269">
      <x:c r="A269" t="str">
        <x:v>T0268</x:v>
      </x:c>
      <x:c r="B269" t="n">
        <x:v>6</x:v>
      </x:c>
      <x:c r="C269" t="str">
        <x:v>C007</x:v>
      </x:c>
      <x:c r="D269" t="str">
        <x:v>IT</x:v>
      </x:c>
      <x:c r="E269" t="str">
        <x:v>Q2</x:v>
      </x:c>
      <x:c r="F269" t="str">
        <x:v>継続契約</x:v>
      </x:c>
      <x:c r="G269" t="str">
        <x:v>導入・運用支援</x:v>
      </x:c>
      <x:c r="H269" s="16" t="n">
        <x:v>410000</x:v>
      </x:c>
      <x:c r="I269" s="16" t="n">
        <x:v>71000</x:v>
      </x:c>
      <x:c r="J269" s="16" t="n">
        <x:v>45000</x:v>
      </x:c>
      <x:c r="K269" s="16" t="n">
        <x:v>13000</x:v>
      </x:c>
      <x:c r="L269" s="14" t="n">
        <x:f>SUM(I269:K269)</x:f>
        <x:v>129000</x:v>
      </x:c>
      <x:c r="M269" s="14" t="n">
        <x:f>H269-L269</x:f>
        <x:v>281000</x:v>
      </x:c>
    </x:row>
    <x:row r="270">
      <x:c r="A270" t="str">
        <x:v>T0269</x:v>
      </x:c>
      <x:c r="B270" t="n">
        <x:v>6</x:v>
      </x:c>
      <x:c r="C270" t="str">
        <x:v>C007</x:v>
      </x:c>
      <x:c r="D270" t="str">
        <x:v>IT</x:v>
      </x:c>
      <x:c r="E270" t="str">
        <x:v>Q2</x:v>
      </x:c>
      <x:c r="F270" t="str">
        <x:v>継続契約</x:v>
      </x:c>
      <x:c r="G270" t="str">
        <x:v>導入・運用支援</x:v>
      </x:c>
      <x:c r="H270" s="16" t="n">
        <x:v>350000</x:v>
      </x:c>
      <x:c r="I270" s="16" t="n">
        <x:v>76000</x:v>
      </x:c>
      <x:c r="J270" s="16" t="n">
        <x:v>48000</x:v>
      </x:c>
      <x:c r="K270" s="16" t="n">
        <x:v>14000</x:v>
      </x:c>
      <x:c r="L270" s="14" t="n">
        <x:f>SUM(I270:K270)</x:f>
        <x:v>138000</x:v>
      </x:c>
      <x:c r="M270" s="14" t="n">
        <x:f>H270-L270</x:f>
        <x:v>212000</x:v>
      </x:c>
    </x:row>
    <x:row r="271">
      <x:c r="A271" t="str">
        <x:v>T0270</x:v>
      </x:c>
      <x:c r="B271" t="n">
        <x:v>6</x:v>
      </x:c>
      <x:c r="C271" t="str">
        <x:v>C008</x:v>
      </x:c>
      <x:c r="D271" t="str">
        <x:v>IT</x:v>
      </x:c>
      <x:c r="E271" t="str">
        <x:v>Q2</x:v>
      </x:c>
      <x:c r="F271" t="str">
        <x:v>継続契約</x:v>
      </x:c>
      <x:c r="G271" t="str">
        <x:v>導入・運用支援</x:v>
      </x:c>
      <x:c r="H271" s="16" t="n">
        <x:v>546000</x:v>
      </x:c>
      <x:c r="I271" s="16" t="n">
        <x:v>97000</x:v>
      </x:c>
      <x:c r="J271" s="16" t="n">
        <x:v>62000</x:v>
      </x:c>
      <x:c r="K271" s="16" t="n">
        <x:v>17000</x:v>
      </x:c>
      <x:c r="L271" s="14" t="n">
        <x:f>SUM(I271:K271)</x:f>
        <x:v>176000</x:v>
      </x:c>
      <x:c r="M271" s="14" t="n">
        <x:f>H271-L271</x:f>
        <x:v>370000</x:v>
      </x:c>
    </x:row>
    <x:row r="272">
      <x:c r="A272" t="str">
        <x:v>T0271</x:v>
      </x:c>
      <x:c r="B272" t="n">
        <x:v>6</x:v>
      </x:c>
      <x:c r="C272" t="str">
        <x:v>C008</x:v>
      </x:c>
      <x:c r="D272" t="str">
        <x:v>IT</x:v>
      </x:c>
      <x:c r="E272" t="str">
        <x:v>Q2</x:v>
      </x:c>
      <x:c r="F272" t="str">
        <x:v>継続契約</x:v>
      </x:c>
      <x:c r="G272" t="str">
        <x:v>導入・運用支援</x:v>
      </x:c>
      <x:c r="H272" s="16" t="n">
        <x:v>376000</x:v>
      </x:c>
      <x:c r="I272" s="16" t="n">
        <x:v>62000</x:v>
      </x:c>
      <x:c r="J272" s="16" t="n">
        <x:v>39000</x:v>
      </x:c>
      <x:c r="K272" s="16" t="n">
        <x:v>11000</x:v>
      </x:c>
      <x:c r="L272" s="14" t="n">
        <x:f>SUM(I272:K272)</x:f>
        <x:v>112000</x:v>
      </x:c>
      <x:c r="M272" s="14" t="n">
        <x:f>H272-L272</x:f>
        <x:v>264000</x:v>
      </x:c>
    </x:row>
    <x:row r="273">
      <x:c r="A273" t="str">
        <x:v>T0272</x:v>
      </x:c>
      <x:c r="B273" t="n">
        <x:v>6</x:v>
      </x:c>
      <x:c r="C273" t="str">
        <x:v>C009</x:v>
      </x:c>
      <x:c r="D273" t="str">
        <x:v>IT</x:v>
      </x:c>
      <x:c r="E273" t="str">
        <x:v>Q2</x:v>
      </x:c>
      <x:c r="F273" t="str">
        <x:v>継続契約</x:v>
      </x:c>
      <x:c r="G273" t="str">
        <x:v>導入・運用支援</x:v>
      </x:c>
      <x:c r="H273" s="16" t="n">
        <x:v>703000</x:v>
      </x:c>
      <x:c r="I273" s="16" t="n">
        <x:v>113000</x:v>
      </x:c>
      <x:c r="J273" s="16" t="n">
        <x:v>72000</x:v>
      </x:c>
      <x:c r="K273" s="16" t="n">
        <x:v>20000</x:v>
      </x:c>
      <x:c r="L273" s="14" t="n">
        <x:f>SUM(I273:K273)</x:f>
        <x:v>205000</x:v>
      </x:c>
      <x:c r="M273" s="14" t="n">
        <x:f>H273-L273</x:f>
        <x:v>498000</x:v>
      </x:c>
    </x:row>
    <x:row r="274">
      <x:c r="A274" t="str">
        <x:v>T0273</x:v>
      </x:c>
      <x:c r="B274" t="n">
        <x:v>6</x:v>
      </x:c>
      <x:c r="C274" t="str">
        <x:v>C009</x:v>
      </x:c>
      <x:c r="D274" t="str">
        <x:v>IT</x:v>
      </x:c>
      <x:c r="E274" t="str">
        <x:v>Q2</x:v>
      </x:c>
      <x:c r="F274" t="str">
        <x:v>継続契約</x:v>
      </x:c>
      <x:c r="G274" t="str">
        <x:v>導入・運用支援</x:v>
      </x:c>
      <x:c r="H274" s="16" t="n">
        <x:v>502000</x:v>
      </x:c>
      <x:c r="I274" s="16" t="n">
        <x:v>88000</x:v>
      </x:c>
      <x:c r="J274" s="16" t="n">
        <x:v>56000</x:v>
      </x:c>
      <x:c r="K274" s="16" t="n">
        <x:v>16000</x:v>
      </x:c>
      <x:c r="L274" s="14" t="n">
        <x:f>SUM(I274:K274)</x:f>
        <x:v>160000</x:v>
      </x:c>
      <x:c r="M274" s="14" t="n">
        <x:f>H274-L274</x:f>
        <x:v>342000</x:v>
      </x:c>
    </x:row>
    <x:row r="275">
      <x:c r="A275" t="str">
        <x:v>T0274</x:v>
      </x:c>
      <x:c r="B275" t="n">
        <x:v>6</x:v>
      </x:c>
      <x:c r="C275" t="str">
        <x:v>C011</x:v>
      </x:c>
      <x:c r="D275" t="str">
        <x:v>IT</x:v>
      </x:c>
      <x:c r="E275" t="str">
        <x:v>Q2</x:v>
      </x:c>
      <x:c r="F275" t="str">
        <x:v>継続契約</x:v>
      </x:c>
      <x:c r="G275" t="str">
        <x:v>導入・運用支援</x:v>
      </x:c>
      <x:c r="H275" s="16" t="n">
        <x:v>983000</x:v>
      </x:c>
      <x:c r="I275" s="16" t="n">
        <x:v>165000</x:v>
      </x:c>
      <x:c r="J275" s="16" t="n">
        <x:v>105000</x:v>
      </x:c>
      <x:c r="K275" s="16" t="n">
        <x:v>30000</x:v>
      </x:c>
      <x:c r="L275" s="14" t="n">
        <x:f>SUM(I275:K275)</x:f>
        <x:v>300000</x:v>
      </x:c>
      <x:c r="M275" s="14" t="n">
        <x:f>H275-L275</x:f>
        <x:v>683000</x:v>
      </x:c>
    </x:row>
    <x:row r="276">
      <x:c r="A276" t="str">
        <x:v>T0275</x:v>
      </x:c>
      <x:c r="B276" t="n">
        <x:v>6</x:v>
      </x:c>
      <x:c r="C276" t="str">
        <x:v>C012</x:v>
      </x:c>
      <x:c r="D276" t="str">
        <x:v>IT</x:v>
      </x:c>
      <x:c r="E276" t="str">
        <x:v>Q2</x:v>
      </x:c>
      <x:c r="F276" t="str">
        <x:v>継続契約</x:v>
      </x:c>
      <x:c r="G276" t="str">
        <x:v>導入・運用支援</x:v>
      </x:c>
      <x:c r="H276" s="16" t="n">
        <x:v>1408000</x:v>
      </x:c>
      <x:c r="I276" s="16" t="n">
        <x:v>228000</x:v>
      </x:c>
      <x:c r="J276" s="16" t="n">
        <x:v>145000</x:v>
      </x:c>
      <x:c r="K276" s="16" t="n">
        <x:v>42000</x:v>
      </x:c>
      <x:c r="L276" s="14" t="n">
        <x:f>SUM(I276:K276)</x:f>
        <x:v>415000</x:v>
      </x:c>
      <x:c r="M276" s="14" t="n">
        <x:f>H276-L276</x:f>
        <x:v>993000</x:v>
      </x:c>
    </x:row>
    <x:row r="277">
      <x:c r="A277" t="str">
        <x:v>T0276</x:v>
      </x:c>
      <x:c r="B277" t="n">
        <x:v>6</x:v>
      </x:c>
      <x:c r="C277" t="str">
        <x:v>C013</x:v>
      </x:c>
      <x:c r="D277" t="str">
        <x:v>IT</x:v>
      </x:c>
      <x:c r="E277" t="str">
        <x:v>Q2</x:v>
      </x:c>
      <x:c r="F277" t="str">
        <x:v>継続契約</x:v>
      </x:c>
      <x:c r="G277" t="str">
        <x:v>導入・運用支援</x:v>
      </x:c>
      <x:c r="H277" s="16" t="n">
        <x:v>584000</x:v>
      </x:c>
      <x:c r="I277" s="16" t="n">
        <x:v>96000</x:v>
      </x:c>
      <x:c r="J277" s="16" t="n">
        <x:v>61000</x:v>
      </x:c>
      <x:c r="K277" s="16" t="n">
        <x:v>18000</x:v>
      </x:c>
      <x:c r="L277" s="14" t="n">
        <x:f>SUM(I277:K277)</x:f>
        <x:v>175000</x:v>
      </x:c>
      <x:c r="M277" s="14" t="n">
        <x:f>H277-L277</x:f>
        <x:v>409000</x:v>
      </x:c>
    </x:row>
    <x:row r="278">
      <x:c r="A278" t="str">
        <x:v>T0277</x:v>
      </x:c>
      <x:c r="B278" t="n">
        <x:v>6</x:v>
      </x:c>
      <x:c r="C278" t="str">
        <x:v>C013</x:v>
      </x:c>
      <x:c r="D278" t="str">
        <x:v>IT</x:v>
      </x:c>
      <x:c r="E278" t="str">
        <x:v>Q2</x:v>
      </x:c>
      <x:c r="F278" t="str">
        <x:v>継続契約</x:v>
      </x:c>
      <x:c r="G278" t="str">
        <x:v>導入・運用支援</x:v>
      </x:c>
      <x:c r="H278" s="16" t="n">
        <x:v>852000</x:v>
      </x:c>
      <x:c r="I278" s="16" t="n">
        <x:v>166000</x:v>
      </x:c>
      <x:c r="J278" s="16" t="n">
        <x:v>105000</x:v>
      </x:c>
      <x:c r="K278" s="16" t="n">
        <x:v>30000</x:v>
      </x:c>
      <x:c r="L278" s="14" t="n">
        <x:f>SUM(I278:K278)</x:f>
        <x:v>301000</x:v>
      </x:c>
      <x:c r="M278" s="14" t="n">
        <x:f>H278-L278</x:f>
        <x:v>551000</x:v>
      </x:c>
    </x:row>
    <x:row r="279">
      <x:c r="A279" t="str">
        <x:v>T0278</x:v>
      </x:c>
      <x:c r="B279" t="n">
        <x:v>6</x:v>
      </x:c>
      <x:c r="C279" t="str">
        <x:v>C014</x:v>
      </x:c>
      <x:c r="D279" t="str">
        <x:v>IT</x:v>
      </x:c>
      <x:c r="E279" t="str">
        <x:v>Q2</x:v>
      </x:c>
      <x:c r="F279" t="str">
        <x:v>継続契約</x:v>
      </x:c>
      <x:c r="G279" t="str">
        <x:v>導入・運用支援</x:v>
      </x:c>
      <x:c r="H279" s="16" t="n">
        <x:v>486000</x:v>
      </x:c>
      <x:c r="I279" s="16" t="n">
        <x:v>103000</x:v>
      </x:c>
      <x:c r="J279" s="16" t="n">
        <x:v>65000</x:v>
      </x:c>
      <x:c r="K279" s="16" t="n">
        <x:v>19000</x:v>
      </x:c>
      <x:c r="L279" s="14" t="n">
        <x:f>SUM(I279:K279)</x:f>
        <x:v>187000</x:v>
      </x:c>
      <x:c r="M279" s="14" t="n">
        <x:f>H279-L279</x:f>
        <x:v>299000</x:v>
      </x:c>
    </x:row>
    <x:row r="280">
      <x:c r="A280" t="str">
        <x:v>T0279</x:v>
      </x:c>
      <x:c r="B280" t="n">
        <x:v>6</x:v>
      </x:c>
      <x:c r="C280" t="str">
        <x:v>C014</x:v>
      </x:c>
      <x:c r="D280" t="str">
        <x:v>IT</x:v>
      </x:c>
      <x:c r="E280" t="str">
        <x:v>Q2</x:v>
      </x:c>
      <x:c r="F280" t="str">
        <x:v>継続契約</x:v>
      </x:c>
      <x:c r="G280" t="str">
        <x:v>導入・運用支援</x:v>
      </x:c>
      <x:c r="H280" s="16" t="n">
        <x:v>735000</x:v>
      </x:c>
      <x:c r="I280" s="16" t="n">
        <x:v>151000</x:v>
      </x:c>
      <x:c r="J280" s="16" t="n">
        <x:v>96000</x:v>
      </x:c>
      <x:c r="K280" s="16" t="n">
        <x:v>27000</x:v>
      </x:c>
      <x:c r="L280" s="14" t="n">
        <x:f>SUM(I280:K280)</x:f>
        <x:v>274000</x:v>
      </x:c>
      <x:c r="M280" s="14" t="n">
        <x:f>H280-L280</x:f>
        <x:v>461000</x:v>
      </x:c>
    </x:row>
    <x:row r="281">
      <x:c r="A281" t="str">
        <x:v>T0280</x:v>
      </x:c>
      <x:c r="B281" t="n">
        <x:v>6</x:v>
      </x:c>
      <x:c r="C281" t="str">
        <x:v>C016</x:v>
      </x:c>
      <x:c r="D281" t="str">
        <x:v>IT</x:v>
      </x:c>
      <x:c r="E281" t="str">
        <x:v>Q2</x:v>
      </x:c>
      <x:c r="F281" t="str">
        <x:v>継続契約</x:v>
      </x:c>
      <x:c r="G281" t="str">
        <x:v>導入・運用支援</x:v>
      </x:c>
      <x:c r="H281" s="16" t="n">
        <x:v>875000</x:v>
      </x:c>
      <x:c r="I281" s="16" t="n">
        <x:v>156000</x:v>
      </x:c>
      <x:c r="J281" s="16" t="n">
        <x:v>99000</x:v>
      </x:c>
      <x:c r="K281" s="16" t="n">
        <x:v>29000</x:v>
      </x:c>
      <x:c r="L281" s="14" t="n">
        <x:f>SUM(I281:K281)</x:f>
        <x:v>284000</x:v>
      </x:c>
      <x:c r="M281" s="14" t="n">
        <x:f>H281-L281</x:f>
        <x:v>591000</x:v>
      </x:c>
    </x:row>
    <x:row r="282">
      <x:c r="A282" t="str">
        <x:v>T0281</x:v>
      </x:c>
      <x:c r="B282" t="n">
        <x:v>6</x:v>
      </x:c>
      <x:c r="C282" t="str">
        <x:v>C017</x:v>
      </x:c>
      <x:c r="D282" t="str">
        <x:v>IT</x:v>
      </x:c>
      <x:c r="E282" t="str">
        <x:v>Q2</x:v>
      </x:c>
      <x:c r="F282" t="str">
        <x:v>継続契約</x:v>
      </x:c>
      <x:c r="G282" t="str">
        <x:v>導入・運用支援</x:v>
      </x:c>
      <x:c r="H282" s="16" t="n">
        <x:v>886000</x:v>
      </x:c>
      <x:c r="I282" s="16" t="n">
        <x:v>164000</x:v>
      </x:c>
      <x:c r="J282" s="16" t="n">
        <x:v>105000</x:v>
      </x:c>
      <x:c r="K282" s="16" t="n">
        <x:v>30000</x:v>
      </x:c>
      <x:c r="L282" s="14" t="n">
        <x:f>SUM(I282:K282)</x:f>
        <x:v>299000</x:v>
      </x:c>
      <x:c r="M282" s="14" t="n">
        <x:f>H282-L282</x:f>
        <x:v>587000</x:v>
      </x:c>
    </x:row>
    <x:row r="283">
      <x:c r="A283" t="str">
        <x:v>T0282</x:v>
      </x:c>
      <x:c r="B283" t="n">
        <x:v>6</x:v>
      </x:c>
      <x:c r="C283" t="str">
        <x:v>C018</x:v>
      </x:c>
      <x:c r="D283" t="str">
        <x:v>IT</x:v>
      </x:c>
      <x:c r="E283" t="str">
        <x:v>Q2</x:v>
      </x:c>
      <x:c r="F283" t="str">
        <x:v>継続契約</x:v>
      </x:c>
      <x:c r="G283" t="str">
        <x:v>導入・運用支援</x:v>
      </x:c>
      <x:c r="H283" s="16" t="n">
        <x:v>1447000</x:v>
      </x:c>
      <x:c r="I283" s="16" t="n">
        <x:v>295000</x:v>
      </x:c>
      <x:c r="J283" s="16" t="n">
        <x:v>188000</x:v>
      </x:c>
      <x:c r="K283" s="16" t="n">
        <x:v>54000</x:v>
      </x:c>
      <x:c r="L283" s="14" t="n">
        <x:f>SUM(I283:K283)</x:f>
        <x:v>537000</x:v>
      </x:c>
      <x:c r="M283" s="14" t="n">
        <x:f>H283-L283</x:f>
        <x:v>910000</x:v>
      </x:c>
    </x:row>
    <x:row r="284">
      <x:c r="A284" t="str">
        <x:v>T0283</x:v>
      </x:c>
      <x:c r="B284" t="n">
        <x:v>6</x:v>
      </x:c>
      <x:c r="C284" t="str">
        <x:v>C019</x:v>
      </x:c>
      <x:c r="D284" t="str">
        <x:v>BPO</x:v>
      </x:c>
      <x:c r="E284" t="str">
        <x:v>Q2</x:v>
      </x:c>
      <x:c r="F284" t="str">
        <x:v>継続契約</x:v>
      </x:c>
      <x:c r="G284" t="str">
        <x:v>業務運用代行</x:v>
      </x:c>
      <x:c r="H284" s="16" t="n">
        <x:v>2797000</x:v>
      </x:c>
      <x:c r="I284" s="16" t="n">
        <x:v>489000</x:v>
      </x:c>
      <x:c r="J284" s="16" t="n">
        <x:v>84000</x:v>
      </x:c>
      <x:c r="K284" s="16" t="n">
        <x:v>70000</x:v>
      </x:c>
      <x:c r="L284" s="14" t="n">
        <x:f>SUM(I284:K284)</x:f>
        <x:v>643000</x:v>
      </x:c>
      <x:c r="M284" s="14" t="n">
        <x:f>H284-L284</x:f>
        <x:v>2154000</x:v>
      </x:c>
    </x:row>
    <x:row r="285">
      <x:c r="A285" t="str">
        <x:v>T0284</x:v>
      </x:c>
      <x:c r="B285" t="n">
        <x:v>6</x:v>
      </x:c>
      <x:c r="C285" t="str">
        <x:v>C020</x:v>
      </x:c>
      <x:c r="D285" t="str">
        <x:v>BPO</x:v>
      </x:c>
      <x:c r="E285" t="str">
        <x:v>Q2</x:v>
      </x:c>
      <x:c r="F285" t="str">
        <x:v>継続契約</x:v>
      </x:c>
      <x:c r="G285" t="str">
        <x:v>業務運用代行</x:v>
      </x:c>
      <x:c r="H285" s="16" t="n">
        <x:v>1833000</x:v>
      </x:c>
      <x:c r="I285" s="16" t="n">
        <x:v>364000</x:v>
      </x:c>
      <x:c r="J285" s="16" t="n">
        <x:v>62000</x:v>
      </x:c>
      <x:c r="K285" s="16" t="n">
        <x:v>53000</x:v>
      </x:c>
      <x:c r="L285" s="14" t="n">
        <x:f>SUM(I285:K285)</x:f>
        <x:v>479000</x:v>
      </x:c>
      <x:c r="M285" s="14" t="n">
        <x:f>H285-L285</x:f>
        <x:v>1354000</x:v>
      </x:c>
    </x:row>
    <x:row r="286">
      <x:c r="A286" t="str">
        <x:v>T0285</x:v>
      </x:c>
      <x:c r="B286" t="n">
        <x:v>6</x:v>
      </x:c>
      <x:c r="C286" t="str">
        <x:v>C021</x:v>
      </x:c>
      <x:c r="D286" t="str">
        <x:v>BPO</x:v>
      </x:c>
      <x:c r="E286" t="str">
        <x:v>Q2</x:v>
      </x:c>
      <x:c r="F286" t="str">
        <x:v>継続契約</x:v>
      </x:c>
      <x:c r="G286" t="str">
        <x:v>業務運用代行</x:v>
      </x:c>
      <x:c r="H286" s="16" t="n">
        <x:v>1218000</x:v>
      </x:c>
      <x:c r="I286" s="16" t="n">
        <x:v>203000</x:v>
      </x:c>
      <x:c r="J286" s="16" t="n">
        <x:v>35000</x:v>
      </x:c>
      <x:c r="K286" s="16" t="n">
        <x:v>29000</x:v>
      </x:c>
      <x:c r="L286" s="14" t="n">
        <x:f>SUM(I286:K286)</x:f>
        <x:v>267000</x:v>
      </x:c>
      <x:c r="M286" s="14" t="n">
        <x:f>H286-L286</x:f>
        <x:v>951000</x:v>
      </x:c>
    </x:row>
    <x:row r="287">
      <x:c r="A287" t="str">
        <x:v>T0286</x:v>
      </x:c>
      <x:c r="B287" t="n">
        <x:v>6</x:v>
      </x:c>
      <x:c r="C287" t="str">
        <x:v>C023</x:v>
      </x:c>
      <x:c r="D287" t="str">
        <x:v>BPO</x:v>
      </x:c>
      <x:c r="E287" t="str">
        <x:v>Q2</x:v>
      </x:c>
      <x:c r="F287" t="str">
        <x:v>継続契約</x:v>
      </x:c>
      <x:c r="G287" t="str">
        <x:v>業務運用代行</x:v>
      </x:c>
      <x:c r="H287" s="16" t="n">
        <x:v>554000</x:v>
      </x:c>
      <x:c r="I287" s="16" t="n">
        <x:v>107000</x:v>
      </x:c>
      <x:c r="J287" s="16" t="n">
        <x:v>18000</x:v>
      </x:c>
      <x:c r="K287" s="16" t="n">
        <x:v>16000</x:v>
      </x:c>
      <x:c r="L287" s="14" t="n">
        <x:f>SUM(I287:K287)</x:f>
        <x:v>141000</x:v>
      </x:c>
      <x:c r="M287" s="14" t="n">
        <x:f>H287-L287</x:f>
        <x:v>413000</x:v>
      </x:c>
    </x:row>
    <x:row r="288">
      <x:c r="A288" t="str">
        <x:v>T0287</x:v>
      </x:c>
      <x:c r="B288" t="n">
        <x:v>6</x:v>
      </x:c>
      <x:c r="C288" t="str">
        <x:v>C023</x:v>
      </x:c>
      <x:c r="D288" t="str">
        <x:v>BPO</x:v>
      </x:c>
      <x:c r="E288" t="str">
        <x:v>Q2</x:v>
      </x:c>
      <x:c r="F288" t="str">
        <x:v>継続契約</x:v>
      </x:c>
      <x:c r="G288" t="str">
        <x:v>業務運用代行</x:v>
      </x:c>
      <x:c r="H288" s="16" t="n">
        <x:v>658000</x:v>
      </x:c>
      <x:c r="I288" s="16" t="n">
        <x:v>116000</x:v>
      </x:c>
      <x:c r="J288" s="16" t="n">
        <x:v>20000</x:v>
      </x:c>
      <x:c r="K288" s="16" t="n">
        <x:v>16000</x:v>
      </x:c>
      <x:c r="L288" s="14" t="n">
        <x:f>SUM(I288:K288)</x:f>
        <x:v>152000</x:v>
      </x:c>
      <x:c r="M288" s="14" t="n">
        <x:f>H288-L288</x:f>
        <x:v>506000</x:v>
      </x:c>
    </x:row>
    <x:row r="289">
      <x:c r="A289" t="str">
        <x:v>T0288</x:v>
      </x:c>
      <x:c r="B289" t="n">
        <x:v>6</x:v>
      </x:c>
      <x:c r="C289" t="str">
        <x:v>C024</x:v>
      </x:c>
      <x:c r="D289" t="str">
        <x:v>BPO</x:v>
      </x:c>
      <x:c r="E289" t="str">
        <x:v>Q2</x:v>
      </x:c>
      <x:c r="F289" t="str">
        <x:v>継続契約</x:v>
      </x:c>
      <x:c r="G289" t="str">
        <x:v>業務運用代行</x:v>
      </x:c>
      <x:c r="H289" s="16" t="n">
        <x:v>1394000</x:v>
      </x:c>
      <x:c r="I289" s="16" t="n">
        <x:v>224000</x:v>
      </x:c>
      <x:c r="J289" s="16" t="n">
        <x:v>38000</x:v>
      </x:c>
      <x:c r="K289" s="16" t="n">
        <x:v>33000</x:v>
      </x:c>
      <x:c r="L289" s="14" t="n">
        <x:f>SUM(I289:K289)</x:f>
        <x:v>295000</x:v>
      </x:c>
      <x:c r="M289" s="14" t="n">
        <x:f>H289-L289</x:f>
        <x:v>1099000</x:v>
      </x:c>
    </x:row>
    <x:row r="290">
      <x:c r="A290" t="str">
        <x:v>T0289</x:v>
      </x:c>
      <x:c r="B290" t="n">
        <x:v>6</x:v>
      </x:c>
      <x:c r="C290" t="str">
        <x:v>C025</x:v>
      </x:c>
      <x:c r="D290" t="str">
        <x:v>BPO</x:v>
      </x:c>
      <x:c r="E290" t="str">
        <x:v>Q2</x:v>
      </x:c>
      <x:c r="F290" t="str">
        <x:v>継続契約</x:v>
      </x:c>
      <x:c r="G290" t="str">
        <x:v>業務運用代行</x:v>
      </x:c>
      <x:c r="H290" s="16" t="n">
        <x:v>1501000</x:v>
      </x:c>
      <x:c r="I290" s="16" t="n">
        <x:v>290000</x:v>
      </x:c>
      <x:c r="J290" s="16" t="n">
        <x:v>50000</x:v>
      </x:c>
      <x:c r="K290" s="16" t="n">
        <x:v>41000</x:v>
      </x:c>
      <x:c r="L290" s="14" t="n">
        <x:f>SUM(I290:K290)</x:f>
        <x:v>381000</x:v>
      </x:c>
      <x:c r="M290" s="14" t="n">
        <x:f>H290-L290</x:f>
        <x:v>1120000</x:v>
      </x:c>
    </x:row>
    <x:row r="291">
      <x:c r="A291" t="str">
        <x:v>T0290</x:v>
      </x:c>
      <x:c r="B291" t="n">
        <x:v>6</x:v>
      </x:c>
      <x:c r="C291" t="str">
        <x:v>C026</x:v>
      </x:c>
      <x:c r="D291" t="str">
        <x:v>BPO</x:v>
      </x:c>
      <x:c r="E291" t="str">
        <x:v>Q2</x:v>
      </x:c>
      <x:c r="F291" t="str">
        <x:v>継続契約</x:v>
      </x:c>
      <x:c r="G291" t="str">
        <x:v>業務運用代行</x:v>
      </x:c>
      <x:c r="H291" s="16" t="n">
        <x:v>1422000</x:v>
      </x:c>
      <x:c r="I291" s="16" t="n">
        <x:v>308000</x:v>
      </x:c>
      <x:c r="J291" s="16" t="n">
        <x:v>53000</x:v>
      </x:c>
      <x:c r="K291" s="16" t="n">
        <x:v>44000</x:v>
      </x:c>
      <x:c r="L291" s="14" t="n">
        <x:f>SUM(I291:K291)</x:f>
        <x:v>405000</x:v>
      </x:c>
      <x:c r="M291" s="14" t="n">
        <x:f>H291-L291</x:f>
        <x:v>1017000</x:v>
      </x:c>
    </x:row>
    <x:row r="292">
      <x:c r="A292" t="str">
        <x:v>T0291</x:v>
      </x:c>
      <x:c r="B292" t="n">
        <x:v>6</x:v>
      </x:c>
      <x:c r="C292" t="str">
        <x:v>C027</x:v>
      </x:c>
      <x:c r="D292" t="str">
        <x:v>BPO</x:v>
      </x:c>
      <x:c r="E292" t="str">
        <x:v>Q2</x:v>
      </x:c>
      <x:c r="F292" t="str">
        <x:v>継続契約</x:v>
      </x:c>
      <x:c r="G292" t="str">
        <x:v>業務運用代行</x:v>
      </x:c>
      <x:c r="H292" s="16" t="n">
        <x:v>1216000</x:v>
      </x:c>
      <x:c r="I292" s="16" t="n">
        <x:v>218000</x:v>
      </x:c>
      <x:c r="J292" s="16" t="n">
        <x:v>37000</x:v>
      </x:c>
      <x:c r="K292" s="16" t="n">
        <x:v>32000</x:v>
      </x:c>
      <x:c r="L292" s="14" t="n">
        <x:f>SUM(I292:K292)</x:f>
        <x:v>287000</x:v>
      </x:c>
      <x:c r="M292" s="14" t="n">
        <x:f>H292-L292</x:f>
        <x:v>929000</x:v>
      </x:c>
    </x:row>
    <x:row r="293">
      <x:c r="A293" t="str">
        <x:v>T0292</x:v>
      </x:c>
      <x:c r="B293" t="n">
        <x:v>6</x:v>
      </x:c>
      <x:c r="C293" t="str">
        <x:v>C028</x:v>
      </x:c>
      <x:c r="D293" t="str">
        <x:v>BPO</x:v>
      </x:c>
      <x:c r="E293" t="str">
        <x:v>Q2</x:v>
      </x:c>
      <x:c r="F293" t="str">
        <x:v>継続契約</x:v>
      </x:c>
      <x:c r="G293" t="str">
        <x:v>業務運用代行</x:v>
      </x:c>
      <x:c r="H293" s="16" t="n">
        <x:v>1606000</x:v>
      </x:c>
      <x:c r="I293" s="16" t="n">
        <x:v>271000</x:v>
      </x:c>
      <x:c r="J293" s="16" t="n">
        <x:v>46000</x:v>
      </x:c>
      <x:c r="K293" s="16" t="n">
        <x:v>39000</x:v>
      </x:c>
      <x:c r="L293" s="14" t="n">
        <x:f>SUM(I293:K293)</x:f>
        <x:v>356000</x:v>
      </x:c>
      <x:c r="M293" s="14" t="n">
        <x:f>H293-L293</x:f>
        <x:v>1250000</x:v>
      </x:c>
    </x:row>
    <x:row r="294">
      <x:c r="A294" t="str">
        <x:v>T0293</x:v>
      </x:c>
      <x:c r="B294" t="n">
        <x:v>6</x:v>
      </x:c>
      <x:c r="C294" t="str">
        <x:v>C029</x:v>
      </x:c>
      <x:c r="D294" t="str">
        <x:v>BPO</x:v>
      </x:c>
      <x:c r="E294" t="str">
        <x:v>Q2</x:v>
      </x:c>
      <x:c r="F294" t="str">
        <x:v>継続契約</x:v>
      </x:c>
      <x:c r="G294" t="str">
        <x:v>業務運用代行</x:v>
      </x:c>
      <x:c r="H294" s="16" t="n">
        <x:v>1559000</x:v>
      </x:c>
      <x:c r="I294" s="16" t="n">
        <x:v>318000</x:v>
      </x:c>
      <x:c r="J294" s="16" t="n">
        <x:v>54000</x:v>
      </x:c>
      <x:c r="K294" s="16" t="n">
        <x:v>46000</x:v>
      </x:c>
      <x:c r="L294" s="14" t="n">
        <x:f>SUM(I294:K294)</x:f>
        <x:v>418000</x:v>
      </x:c>
      <x:c r="M294" s="14" t="n">
        <x:f>H294-L294</x:f>
        <x:v>1141000</x:v>
      </x:c>
    </x:row>
    <x:row r="295">
      <x:c r="A295" t="str">
        <x:v>T0294</x:v>
      </x:c>
      <x:c r="B295" t="n">
        <x:v>6</x:v>
      </x:c>
      <x:c r="C295" t="str">
        <x:v>C030</x:v>
      </x:c>
      <x:c r="D295" t="str">
        <x:v>BPO</x:v>
      </x:c>
      <x:c r="E295" t="str">
        <x:v>Q2</x:v>
      </x:c>
      <x:c r="F295" t="str">
        <x:v>継続契約</x:v>
      </x:c>
      <x:c r="G295" t="str">
        <x:v>業務運用代行</x:v>
      </x:c>
      <x:c r="H295" s="16" t="n">
        <x:v>1324000</x:v>
      </x:c>
      <x:c r="I295" s="16" t="n">
        <x:v>268000</x:v>
      </x:c>
      <x:c r="J295" s="16" t="n">
        <x:v>46000</x:v>
      </x:c>
      <x:c r="K295" s="16" t="n">
        <x:v>38000</x:v>
      </x:c>
      <x:c r="L295" s="14" t="n">
        <x:f>SUM(I295:K295)</x:f>
        <x:v>352000</x:v>
      </x:c>
      <x:c r="M295" s="14" t="n">
        <x:f>H295-L295</x:f>
        <x:v>972000</x:v>
      </x:c>
    </x:row>
    <x:row r="296">
      <x:c r="A296" t="str">
        <x:v>T0295</x:v>
      </x:c>
      <x:c r="B296" t="n">
        <x:v>6</x:v>
      </x:c>
      <x:c r="C296" t="str">
        <x:v>C031</x:v>
      </x:c>
      <x:c r="D296" t="str">
        <x:v>BPO</x:v>
      </x:c>
      <x:c r="E296" t="str">
        <x:v>Q2</x:v>
      </x:c>
      <x:c r="F296" t="str">
        <x:v>継続契約</x:v>
      </x:c>
      <x:c r="G296" t="str">
        <x:v>業務運用代行</x:v>
      </x:c>
      <x:c r="H296" s="16" t="n">
        <x:v>1579000</x:v>
      </x:c>
      <x:c r="I296" s="16" t="n">
        <x:v>312000</x:v>
      </x:c>
      <x:c r="J296" s="16" t="n">
        <x:v>53000</x:v>
      </x:c>
      <x:c r="K296" s="16" t="n">
        <x:v>46000</x:v>
      </x:c>
      <x:c r="L296" s="14" t="n">
        <x:f>SUM(I296:K296)</x:f>
        <x:v>411000</x:v>
      </x:c>
      <x:c r="M296" s="14" t="n">
        <x:f>H296-L296</x:f>
        <x:v>1168000</x:v>
      </x:c>
    </x:row>
    <x:row r="297">
      <x:c r="A297" t="str">
        <x:v>T0296</x:v>
      </x:c>
      <x:c r="B297" t="n">
        <x:v>6</x:v>
      </x:c>
      <x:c r="C297" t="str">
        <x:v>C032</x:v>
      </x:c>
      <x:c r="D297" t="str">
        <x:v>BPO</x:v>
      </x:c>
      <x:c r="E297" t="str">
        <x:v>Q2</x:v>
      </x:c>
      <x:c r="F297" t="str">
        <x:v>継続契約</x:v>
      </x:c>
      <x:c r="G297" t="str">
        <x:v>業務運用代行</x:v>
      </x:c>
      <x:c r="H297" s="16" t="n">
        <x:v>1094000</x:v>
      </x:c>
      <x:c r="I297" s="16" t="n">
        <x:v>194000</x:v>
      </x:c>
      <x:c r="J297" s="16" t="n">
        <x:v>33000</x:v>
      </x:c>
      <x:c r="K297" s="16" t="n">
        <x:v>28000</x:v>
      </x:c>
      <x:c r="L297" s="14" t="n">
        <x:f>SUM(I297:K297)</x:f>
        <x:v>255000</x:v>
      </x:c>
      <x:c r="M297" s="14" t="n">
        <x:f>H297-L297</x:f>
        <x:v>839000</x:v>
      </x:c>
    </x:row>
    <x:row r="298">
      <x:c r="A298" t="str">
        <x:v>T0297</x:v>
      </x:c>
      <x:c r="B298" t="n">
        <x:v>6</x:v>
      </x:c>
      <x:c r="C298" t="str">
        <x:v>C033</x:v>
      </x:c>
      <x:c r="D298" t="str">
        <x:v>BPO</x:v>
      </x:c>
      <x:c r="E298" t="str">
        <x:v>Q2</x:v>
      </x:c>
      <x:c r="F298" t="str">
        <x:v>継続契約</x:v>
      </x:c>
      <x:c r="G298" t="str">
        <x:v>業務運用代行</x:v>
      </x:c>
      <x:c r="H298" s="16" t="n">
        <x:v>571000</x:v>
      </x:c>
      <x:c r="I298" s="16" t="n">
        <x:v>93000</x:v>
      </x:c>
      <x:c r="J298" s="16" t="n">
        <x:v>16000</x:v>
      </x:c>
      <x:c r="K298" s="16" t="n">
        <x:v>14000</x:v>
      </x:c>
      <x:c r="L298" s="14" t="n">
        <x:f>SUM(I298:K298)</x:f>
        <x:v>123000</x:v>
      </x:c>
      <x:c r="M298" s="14" t="n">
        <x:f>H298-L298</x:f>
        <x:v>448000</x:v>
      </x:c>
    </x:row>
    <x:row r="299">
      <x:c r="A299" t="str">
        <x:v>T0298</x:v>
      </x:c>
      <x:c r="B299" t="n">
        <x:v>6</x:v>
      </x:c>
      <x:c r="C299" t="str">
        <x:v>C033</x:v>
      </x:c>
      <x:c r="D299" t="str">
        <x:v>BPO</x:v>
      </x:c>
      <x:c r="E299" t="str">
        <x:v>Q2</x:v>
      </x:c>
      <x:c r="F299" t="str">
        <x:v>継続契約</x:v>
      </x:c>
      <x:c r="G299" t="str">
        <x:v>業務運用代行</x:v>
      </x:c>
      <x:c r="H299" s="16" t="n">
        <x:v>619000</x:v>
      </x:c>
      <x:c r="I299" s="16" t="n">
        <x:v>122000</x:v>
      </x:c>
      <x:c r="J299" s="16" t="n">
        <x:v>21000</x:v>
      </x:c>
      <x:c r="K299" s="16" t="n">
        <x:v>17000</x:v>
      </x:c>
      <x:c r="L299" s="14" t="n">
        <x:f>SUM(I299:K299)</x:f>
        <x:v>160000</x:v>
      </x:c>
      <x:c r="M299" s="14" t="n">
        <x:f>H299-L299</x:f>
        <x:v>459000</x:v>
      </x:c>
    </x:row>
    <x:row r="300">
      <x:c r="A300" t="str">
        <x:v>T0299</x:v>
      </x:c>
      <x:c r="B300" t="n">
        <x:v>6</x:v>
      </x:c>
      <x:c r="C300" t="str">
        <x:v>C035</x:v>
      </x:c>
      <x:c r="D300" t="str">
        <x:v>TRN</x:v>
      </x:c>
      <x:c r="E300" t="str">
        <x:v>Q2</x:v>
      </x:c>
      <x:c r="F300" t="str">
        <x:v>スポット中心</x:v>
      </x:c>
      <x:c r="G300" t="str">
        <x:v>研修プログラム</x:v>
      </x:c>
      <x:c r="H300" s="16" t="n">
        <x:v>469000</x:v>
      </x:c>
      <x:c r="I300" s="16" t="n">
        <x:v>27000</x:v>
      </x:c>
      <x:c r="J300" s="16" t="n">
        <x:v>14000</x:v>
      </x:c>
      <x:c r="K300" s="16" t="n">
        <x:v>34000</x:v>
      </x:c>
      <x:c r="L300" s="14" t="n">
        <x:f>SUM(I300:K300)</x:f>
        <x:v>75000</x:v>
      </x:c>
      <x:c r="M300" s="14" t="n">
        <x:f>H300-L300</x:f>
        <x:v>394000</x:v>
      </x:c>
    </x:row>
    <x:row r="301">
      <x:c r="A301" t="str">
        <x:v>T0300</x:v>
      </x:c>
      <x:c r="B301" t="n">
        <x:v>6</x:v>
      </x:c>
      <x:c r="C301" t="str">
        <x:v>C035</x:v>
      </x:c>
      <x:c r="D301" t="str">
        <x:v>TRN</x:v>
      </x:c>
      <x:c r="E301" t="str">
        <x:v>Q2</x:v>
      </x:c>
      <x:c r="F301" t="str">
        <x:v>スポット中心</x:v>
      </x:c>
      <x:c r="G301" t="str">
        <x:v>研修プログラム</x:v>
      </x:c>
      <x:c r="H301" s="16" t="n">
        <x:v>555000</x:v>
      </x:c>
      <x:c r="I301" s="16" t="n">
        <x:v>42000</x:v>
      </x:c>
      <x:c r="J301" s="16" t="n">
        <x:v>21000</x:v>
      </x:c>
      <x:c r="K301" s="16" t="n">
        <x:v>54000</x:v>
      </x:c>
      <x:c r="L301" s="14" t="n">
        <x:f>SUM(I301:K301)</x:f>
        <x:v>117000</x:v>
      </x:c>
      <x:c r="M301" s="14" t="n">
        <x:f>H301-L301</x:f>
        <x:v>438000</x:v>
      </x:c>
    </x:row>
    <x:row r="302">
      <x:c r="A302" t="str">
        <x:v>T0301</x:v>
      </x:c>
      <x:c r="B302" t="n">
        <x:v>6</x:v>
      </x:c>
      <x:c r="C302" t="str">
        <x:v>C036</x:v>
      </x:c>
      <x:c r="D302" t="str">
        <x:v>TRN</x:v>
      </x:c>
      <x:c r="E302" t="str">
        <x:v>Q2</x:v>
      </x:c>
      <x:c r="F302" t="str">
        <x:v>継続契約</x:v>
      </x:c>
      <x:c r="G302" t="str">
        <x:v>研修プログラム</x:v>
      </x:c>
      <x:c r="H302" s="16" t="n">
        <x:v>602000</x:v>
      </x:c>
      <x:c r="I302" s="16" t="n">
        <x:v>46000</x:v>
      </x:c>
      <x:c r="J302" s="16" t="n">
        <x:v>23000</x:v>
      </x:c>
      <x:c r="K302" s="16" t="n">
        <x:v>60000</x:v>
      </x:c>
      <x:c r="L302" s="14" t="n">
        <x:f>SUM(I302:K302)</x:f>
        <x:v>129000</x:v>
      </x:c>
      <x:c r="M302" s="14" t="n">
        <x:f>H302-L302</x:f>
        <x:v>473000</x:v>
      </x:c>
    </x:row>
    <x:row r="303">
      <x:c r="A303" t="str">
        <x:v>T0302</x:v>
      </x:c>
      <x:c r="B303" t="n">
        <x:v>6</x:v>
      </x:c>
      <x:c r="C303" t="str">
        <x:v>C037</x:v>
      </x:c>
      <x:c r="D303" t="str">
        <x:v>TRN</x:v>
      </x:c>
      <x:c r="E303" t="str">
        <x:v>Q2</x:v>
      </x:c>
      <x:c r="F303" t="str">
        <x:v>継続契約</x:v>
      </x:c>
      <x:c r="G303" t="str">
        <x:v>研修プログラム</x:v>
      </x:c>
      <x:c r="H303" s="16" t="n">
        <x:v>451000</x:v>
      </x:c>
      <x:c r="I303" s="16" t="n">
        <x:v>21000</x:v>
      </x:c>
      <x:c r="J303" s="16" t="n">
        <x:v>10000</x:v>
      </x:c>
      <x:c r="K303" s="16" t="n">
        <x:v>26000</x:v>
      </x:c>
      <x:c r="L303" s="14" t="n">
        <x:f>SUM(I303:K303)</x:f>
        <x:v>57000</x:v>
      </x:c>
      <x:c r="M303" s="14" t="n">
        <x:f>H303-L303</x:f>
        <x:v>394000</x:v>
      </x:c>
    </x:row>
    <x:row r="304">
      <x:c r="A304" t="str">
        <x:v>T0303</x:v>
      </x:c>
      <x:c r="B304" t="n">
        <x:v>6</x:v>
      </x:c>
      <x:c r="C304" t="str">
        <x:v>C037</x:v>
      </x:c>
      <x:c r="D304" t="str">
        <x:v>TRN</x:v>
      </x:c>
      <x:c r="E304" t="str">
        <x:v>Q2</x:v>
      </x:c>
      <x:c r="F304" t="str">
        <x:v>継続契約</x:v>
      </x:c>
      <x:c r="G304" t="str">
        <x:v>研修プログラム</x:v>
      </x:c>
      <x:c r="H304" s="16" t="n">
        <x:v>315000</x:v>
      </x:c>
      <x:c r="I304" s="16" t="n">
        <x:v>15000</x:v>
      </x:c>
      <x:c r="J304" s="16" t="n">
        <x:v>7000</x:v>
      </x:c>
      <x:c r="K304" s="16" t="n">
        <x:v>19000</x:v>
      </x:c>
      <x:c r="L304" s="14" t="n">
        <x:f>SUM(I304:K304)</x:f>
        <x:v>41000</x:v>
      </x:c>
      <x:c r="M304" s="14" t="n">
        <x:f>H304-L304</x:f>
        <x:v>274000</x:v>
      </x:c>
    </x:row>
    <x:row r="305">
      <x:c r="A305" t="str">
        <x:v>T0304</x:v>
      </x:c>
      <x:c r="B305" t="n">
        <x:v>6</x:v>
      </x:c>
      <x:c r="C305" t="str">
        <x:v>C038</x:v>
      </x:c>
      <x:c r="D305" t="str">
        <x:v>TRN</x:v>
      </x:c>
      <x:c r="E305" t="str">
        <x:v>Q2</x:v>
      </x:c>
      <x:c r="F305" t="str">
        <x:v>継続契約</x:v>
      </x:c>
      <x:c r="G305" t="str">
        <x:v>研修プログラム</x:v>
      </x:c>
      <x:c r="H305" s="16" t="n">
        <x:v>1091000</x:v>
      </x:c>
      <x:c r="I305" s="16" t="n">
        <x:v>82000</x:v>
      </x:c>
      <x:c r="J305" s="16" t="n">
        <x:v>41000</x:v>
      </x:c>
      <x:c r="K305" s="16" t="n">
        <x:v>106000</x:v>
      </x:c>
      <x:c r="L305" s="14" t="n">
        <x:f>SUM(I305:K305)</x:f>
        <x:v>229000</x:v>
      </x:c>
      <x:c r="M305" s="14" t="n">
        <x:f>H305-L305</x:f>
        <x:v>862000</x:v>
      </x:c>
    </x:row>
    <x:row r="306">
      <x:c r="A306" t="str">
        <x:v>T0305</x:v>
      </x:c>
      <x:c r="B306" t="n">
        <x:v>6</x:v>
      </x:c>
      <x:c r="C306" t="str">
        <x:v>C039</x:v>
      </x:c>
      <x:c r="D306" t="str">
        <x:v>TRN</x:v>
      </x:c>
      <x:c r="E306" t="str">
        <x:v>Q2</x:v>
      </x:c>
      <x:c r="F306" t="str">
        <x:v>継続契約</x:v>
      </x:c>
      <x:c r="G306" t="str">
        <x:v>研修プログラム</x:v>
      </x:c>
      <x:c r="H306" s="16" t="n">
        <x:v>409000</x:v>
      </x:c>
      <x:c r="I306" s="16" t="n">
        <x:v>15000</x:v>
      </x:c>
      <x:c r="J306" s="16" t="n">
        <x:v>8000</x:v>
      </x:c>
      <x:c r="K306" s="16" t="n">
        <x:v>20000</x:v>
      </x:c>
      <x:c r="L306" s="14" t="n">
        <x:f>SUM(I306:K306)</x:f>
        <x:v>43000</x:v>
      </x:c>
      <x:c r="M306" s="14" t="n">
        <x:f>H306-L306</x:f>
        <x:v>366000</x:v>
      </x:c>
    </x:row>
    <x:row r="307">
      <x:c r="A307" t="str">
        <x:v>T0306</x:v>
      </x:c>
      <x:c r="B307" t="n">
        <x:v>6</x:v>
      </x:c>
      <x:c r="C307" t="str">
        <x:v>C039</x:v>
      </x:c>
      <x:c r="D307" t="str">
        <x:v>TRN</x:v>
      </x:c>
      <x:c r="E307" t="str">
        <x:v>Q2</x:v>
      </x:c>
      <x:c r="F307" t="str">
        <x:v>継続契約</x:v>
      </x:c>
      <x:c r="G307" t="str">
        <x:v>研修プログラム</x:v>
      </x:c>
      <x:c r="H307" s="16" t="n">
        <x:v>525000</x:v>
      </x:c>
      <x:c r="I307" s="16" t="n">
        <x:v>30000</x:v>
      </x:c>
      <x:c r="J307" s="16" t="n">
        <x:v>15000</x:v>
      </x:c>
      <x:c r="K307" s="16" t="n">
        <x:v>38000</x:v>
      </x:c>
      <x:c r="L307" s="14" t="n">
        <x:f>SUM(I307:K307)</x:f>
        <x:v>83000</x:v>
      </x:c>
      <x:c r="M307" s="14" t="n">
        <x:f>H307-L307</x:f>
        <x:v>442000</x:v>
      </x:c>
    </x:row>
    <x:row r="308">
      <x:c r="A308" t="str">
        <x:v>T0307</x:v>
      </x:c>
      <x:c r="B308" t="n">
        <x:v>6</x:v>
      </x:c>
      <x:c r="C308" t="str">
        <x:v>C040</x:v>
      </x:c>
      <x:c r="D308" t="str">
        <x:v>TRN</x:v>
      </x:c>
      <x:c r="E308" t="str">
        <x:v>Q2</x:v>
      </x:c>
      <x:c r="F308" t="str">
        <x:v>スポット中心</x:v>
      </x:c>
      <x:c r="G308" t="str">
        <x:v>研修プログラム</x:v>
      </x:c>
      <x:c r="H308" s="16" t="n">
        <x:v>840000</x:v>
      </x:c>
      <x:c r="I308" s="16" t="n">
        <x:v>43000</x:v>
      </x:c>
      <x:c r="J308" s="16" t="n">
        <x:v>22000</x:v>
      </x:c>
      <x:c r="K308" s="16" t="n">
        <x:v>55000</x:v>
      </x:c>
      <x:c r="L308" s="14" t="n">
        <x:f>SUM(I308:K308)</x:f>
        <x:v>120000</x:v>
      </x:c>
      <x:c r="M308" s="14" t="n">
        <x:f>H308-L308</x:f>
        <x:v>720000</x:v>
      </x:c>
    </x:row>
    <x:row r="309">
      <x:c r="A309" t="str">
        <x:v>T0308</x:v>
      </x:c>
      <x:c r="B309" t="n">
        <x:v>6</x:v>
      </x:c>
      <x:c r="C309" t="str">
        <x:v>C041</x:v>
      </x:c>
      <x:c r="D309" t="str">
        <x:v>TRN</x:v>
      </x:c>
      <x:c r="E309" t="str">
        <x:v>Q2</x:v>
      </x:c>
      <x:c r="F309" t="str">
        <x:v>継続契約</x:v>
      </x:c>
      <x:c r="G309" t="str">
        <x:v>研修プログラム</x:v>
      </x:c>
      <x:c r="H309" s="16" t="n">
        <x:v>276000</x:v>
      </x:c>
      <x:c r="I309" s="16" t="n">
        <x:v>23000</x:v>
      </x:c>
      <x:c r="J309" s="16" t="n">
        <x:v>11000</x:v>
      </x:c>
      <x:c r="K309" s="16" t="n">
        <x:v>29000</x:v>
      </x:c>
      <x:c r="L309" s="14" t="n">
        <x:f>SUM(I309:K309)</x:f>
        <x:v>63000</x:v>
      </x:c>
      <x:c r="M309" s="14" t="n">
        <x:f>H309-L309</x:f>
        <x:v>213000</x:v>
      </x:c>
    </x:row>
    <x:row r="310">
      <x:c r="A310" t="str">
        <x:v>T0309</x:v>
      </x:c>
      <x:c r="B310" t="n">
        <x:v>6</x:v>
      </x:c>
      <x:c r="C310" t="str">
        <x:v>C041</x:v>
      </x:c>
      <x:c r="D310" t="str">
        <x:v>TRN</x:v>
      </x:c>
      <x:c r="E310" t="str">
        <x:v>Q2</x:v>
      </x:c>
      <x:c r="F310" t="str">
        <x:v>継続契約</x:v>
      </x:c>
      <x:c r="G310" t="str">
        <x:v>研修プログラム</x:v>
      </x:c>
      <x:c r="H310" s="16" t="n">
        <x:v>399000</x:v>
      </x:c>
      <x:c r="I310" s="16" t="n">
        <x:v>23000</x:v>
      </x:c>
      <x:c r="J310" s="16" t="n">
        <x:v>12000</x:v>
      </x:c>
      <x:c r="K310" s="16" t="n">
        <x:v>29000</x:v>
      </x:c>
      <x:c r="L310" s="14" t="n">
        <x:f>SUM(I310:K310)</x:f>
        <x:v>64000</x:v>
      </x:c>
      <x:c r="M310" s="14" t="n">
        <x:f>H310-L310</x:f>
        <x:v>335000</x:v>
      </x:c>
    </x:row>
    <x:row r="311">
      <x:c r="A311" t="str">
        <x:v>T0310</x:v>
      </x:c>
      <x:c r="B311" t="n">
        <x:v>6</x:v>
      </x:c>
      <x:c r="C311" t="str">
        <x:v>C044</x:v>
      </x:c>
      <x:c r="D311" t="str">
        <x:v>TRN</x:v>
      </x:c>
      <x:c r="E311" t="str">
        <x:v>Q2</x:v>
      </x:c>
      <x:c r="F311" t="str">
        <x:v>継続契約</x:v>
      </x:c>
      <x:c r="G311" t="str">
        <x:v>研修プログラム</x:v>
      </x:c>
      <x:c r="H311" s="16" t="n">
        <x:v>329000</x:v>
      </x:c>
      <x:c r="I311" s="16" t="n">
        <x:v>18000</x:v>
      </x:c>
      <x:c r="J311" s="16" t="n">
        <x:v>9000</x:v>
      </x:c>
      <x:c r="K311" s="16" t="n">
        <x:v>22000</x:v>
      </x:c>
      <x:c r="L311" s="14" t="n">
        <x:f>SUM(I311:K311)</x:f>
        <x:v>49000</x:v>
      </x:c>
      <x:c r="M311" s="14" t="n">
        <x:f>H311-L311</x:f>
        <x:v>280000</x:v>
      </x:c>
    </x:row>
    <x:row r="312">
      <x:c r="A312" t="str">
        <x:v>T0311</x:v>
      </x:c>
      <x:c r="B312" t="n">
        <x:v>6</x:v>
      </x:c>
      <x:c r="C312" t="str">
        <x:v>C044</x:v>
      </x:c>
      <x:c r="D312" t="str">
        <x:v>TRN</x:v>
      </x:c>
      <x:c r="E312" t="str">
        <x:v>Q2</x:v>
      </x:c>
      <x:c r="F312" t="str">
        <x:v>継続契約</x:v>
      </x:c>
      <x:c r="G312" t="str">
        <x:v>研修プログラム</x:v>
      </x:c>
      <x:c r="H312" s="16" t="n">
        <x:v>252000</x:v>
      </x:c>
      <x:c r="I312" s="16" t="n">
        <x:v>15000</x:v>
      </x:c>
      <x:c r="J312" s="16" t="n">
        <x:v>7000</x:v>
      </x:c>
      <x:c r="K312" s="16" t="n">
        <x:v>19000</x:v>
      </x:c>
      <x:c r="L312" s="14" t="n">
        <x:f>SUM(I312:K312)</x:f>
        <x:v>41000</x:v>
      </x:c>
      <x:c r="M312" s="14" t="n">
        <x:f>H312-L312</x:f>
        <x:v>211000</x:v>
      </x:c>
    </x:row>
    <x:row r="313">
      <x:c r="A313" t="str">
        <x:v>T0312</x:v>
      </x:c>
      <x:c r="B313" t="n">
        <x:v>7</x:v>
      </x:c>
      <x:c r="C313" t="str">
        <x:v>C001</x:v>
      </x:c>
      <x:c r="D313" t="str">
        <x:v>IT</x:v>
      </x:c>
      <x:c r="E313" t="str">
        <x:v>Q3</x:v>
      </x:c>
      <x:c r="F313" t="str">
        <x:v>継続契約</x:v>
      </x:c>
      <x:c r="G313" t="str">
        <x:v>導入・運用支援</x:v>
      </x:c>
      <x:c r="H313" s="16" t="n">
        <x:v>5427000</x:v>
      </x:c>
      <x:c r="I313" s="16" t="n">
        <x:v>1060000</x:v>
      </x:c>
      <x:c r="J313" s="16" t="n">
        <x:v>675000</x:v>
      </x:c>
      <x:c r="K313" s="16" t="n">
        <x:v>193000</x:v>
      </x:c>
      <x:c r="L313" s="14" t="n">
        <x:f>SUM(I313:K313)</x:f>
        <x:v>1928000</x:v>
      </x:c>
      <x:c r="M313" s="14" t="n">
        <x:f>H313-L313</x:f>
        <x:v>3499000</x:v>
      </x:c>
    </x:row>
    <x:row r="314">
      <x:c r="A314" t="str">
        <x:v>T0313</x:v>
      </x:c>
      <x:c r="B314" t="n">
        <x:v>7</x:v>
      </x:c>
      <x:c r="C314" t="str">
        <x:v>C003</x:v>
      </x:c>
      <x:c r="D314" t="str">
        <x:v>IT</x:v>
      </x:c>
      <x:c r="E314" t="str">
        <x:v>Q3</x:v>
      </x:c>
      <x:c r="F314" t="str">
        <x:v>継続契約</x:v>
      </x:c>
      <x:c r="G314" t="str">
        <x:v>導入・運用支援</x:v>
      </x:c>
      <x:c r="H314" s="16" t="n">
        <x:v>1186000</x:v>
      </x:c>
      <x:c r="I314" s="16" t="n">
        <x:v>245000</x:v>
      </x:c>
      <x:c r="J314" s="16" t="n">
        <x:v>156000</x:v>
      </x:c>
      <x:c r="K314" s="16" t="n">
        <x:v>45000</x:v>
      </x:c>
      <x:c r="L314" s="14" t="n">
        <x:f>SUM(I314:K314)</x:f>
        <x:v>446000</x:v>
      </x:c>
      <x:c r="M314" s="14" t="n">
        <x:f>H314-L314</x:f>
        <x:v>740000</x:v>
      </x:c>
    </x:row>
    <x:row r="315">
      <x:c r="A315" t="str">
        <x:v>T0314</x:v>
      </x:c>
      <x:c r="B315" t="n">
        <x:v>7</x:v>
      </x:c>
      <x:c r="C315" t="str">
        <x:v>C003</x:v>
      </x:c>
      <x:c r="D315" t="str">
        <x:v>IT</x:v>
      </x:c>
      <x:c r="E315" t="str">
        <x:v>Q3</x:v>
      </x:c>
      <x:c r="F315" t="str">
        <x:v>継続契約</x:v>
      </x:c>
      <x:c r="G315" t="str">
        <x:v>導入・運用支援</x:v>
      </x:c>
      <x:c r="H315" s="16" t="n">
        <x:v>2034000</x:v>
      </x:c>
      <x:c r="I315" s="16" t="n">
        <x:v>450000</x:v>
      </x:c>
      <x:c r="J315" s="16" t="n">
        <x:v>287000</x:v>
      </x:c>
      <x:c r="K315" s="16" t="n">
        <x:v>82000</x:v>
      </x:c>
      <x:c r="L315" s="14" t="n">
        <x:f>SUM(I315:K315)</x:f>
        <x:v>819000</x:v>
      </x:c>
      <x:c r="M315" s="14" t="n">
        <x:f>H315-L315</x:f>
        <x:v>1215000</x:v>
      </x:c>
    </x:row>
    <x:row r="316">
      <x:c r="A316" t="str">
        <x:v>T0315</x:v>
      </x:c>
      <x:c r="B316" t="n">
        <x:v>7</x:v>
      </x:c>
      <x:c r="C316" t="str">
        <x:v>C004</x:v>
      </x:c>
      <x:c r="D316" t="str">
        <x:v>IT</x:v>
      </x:c>
      <x:c r="E316" t="str">
        <x:v>Q3</x:v>
      </x:c>
      <x:c r="F316" t="str">
        <x:v>継続契約</x:v>
      </x:c>
      <x:c r="G316" t="str">
        <x:v>導入・運用支援</x:v>
      </x:c>
      <x:c r="H316" s="16" t="n">
        <x:v>983000</x:v>
      </x:c>
      <x:c r="I316" s="16" t="n">
        <x:v>185000</x:v>
      </x:c>
      <x:c r="J316" s="16" t="n">
        <x:v>118000</x:v>
      </x:c>
      <x:c r="K316" s="16" t="n">
        <x:v>34000</x:v>
      </x:c>
      <x:c r="L316" s="14" t="n">
        <x:f>SUM(I316:K316)</x:f>
        <x:v>337000</x:v>
      </x:c>
      <x:c r="M316" s="14" t="n">
        <x:f>H316-L316</x:f>
        <x:v>646000</x:v>
      </x:c>
    </x:row>
    <x:row r="317">
      <x:c r="A317" t="str">
        <x:v>T0316</x:v>
      </x:c>
      <x:c r="B317" t="n">
        <x:v>7</x:v>
      </x:c>
      <x:c r="C317" t="str">
        <x:v>C005</x:v>
      </x:c>
      <x:c r="D317" t="str">
        <x:v>IT</x:v>
      </x:c>
      <x:c r="E317" t="str">
        <x:v>Q3</x:v>
      </x:c>
      <x:c r="F317" t="str">
        <x:v>スポット中心</x:v>
      </x:c>
      <x:c r="G317" t="str">
        <x:v>導入・運用支援</x:v>
      </x:c>
      <x:c r="H317" s="16" t="n">
        <x:v>1301000</x:v>
      </x:c>
      <x:c r="I317" s="16" t="n">
        <x:v>269000</x:v>
      </x:c>
      <x:c r="J317" s="16" t="n">
        <x:v>171000</x:v>
      </x:c>
      <x:c r="K317" s="16" t="n">
        <x:v>49000</x:v>
      </x:c>
      <x:c r="L317" s="14" t="n">
        <x:f>SUM(I317:K317)</x:f>
        <x:v>489000</x:v>
      </x:c>
      <x:c r="M317" s="14" t="n">
        <x:f>H317-L317</x:f>
        <x:v>812000</x:v>
      </x:c>
    </x:row>
    <x:row r="318">
      <x:c r="A318" t="str">
        <x:v>T0317</x:v>
      </x:c>
      <x:c r="B318" t="n">
        <x:v>7</x:v>
      </x:c>
      <x:c r="C318" t="str">
        <x:v>C008</x:v>
      </x:c>
      <x:c r="D318" t="str">
        <x:v>IT</x:v>
      </x:c>
      <x:c r="E318" t="str">
        <x:v>Q3</x:v>
      </x:c>
      <x:c r="F318" t="str">
        <x:v>継続契約</x:v>
      </x:c>
      <x:c r="G318" t="str">
        <x:v>導入・運用支援</x:v>
      </x:c>
      <x:c r="H318" s="16" t="n">
        <x:v>506000</x:v>
      </x:c>
      <x:c r="I318" s="16" t="n">
        <x:v>107000</x:v>
      </x:c>
      <x:c r="J318" s="16" t="n">
        <x:v>68000</x:v>
      </x:c>
      <x:c r="K318" s="16" t="n">
        <x:v>20000</x:v>
      </x:c>
      <x:c r="L318" s="14" t="n">
        <x:f>SUM(I318:K318)</x:f>
        <x:v>195000</x:v>
      </x:c>
      <x:c r="M318" s="14" t="n">
        <x:f>H318-L318</x:f>
        <x:v>311000</x:v>
      </x:c>
    </x:row>
    <x:row r="319">
      <x:c r="A319" t="str">
        <x:v>T0318</x:v>
      </x:c>
      <x:c r="B319" t="n">
        <x:v>7</x:v>
      </x:c>
      <x:c r="C319" t="str">
        <x:v>C008</x:v>
      </x:c>
      <x:c r="D319" t="str">
        <x:v>IT</x:v>
      </x:c>
      <x:c r="E319" t="str">
        <x:v>Q3</x:v>
      </x:c>
      <x:c r="F319" t="str">
        <x:v>継続契約</x:v>
      </x:c>
      <x:c r="G319" t="str">
        <x:v>導入・運用支援</x:v>
      </x:c>
      <x:c r="H319" s="16" t="n">
        <x:v>412000</x:v>
      </x:c>
      <x:c r="I319" s="16" t="n">
        <x:v>82000</x:v>
      </x:c>
      <x:c r="J319" s="16" t="n">
        <x:v>52000</x:v>
      </x:c>
      <x:c r="K319" s="16" t="n">
        <x:v>15000</x:v>
      </x:c>
      <x:c r="L319" s="14" t="n">
        <x:f>SUM(I319:K319)</x:f>
        <x:v>149000</x:v>
      </x:c>
      <x:c r="M319" s="14" t="n">
        <x:f>H319-L319</x:f>
        <x:v>263000</x:v>
      </x:c>
    </x:row>
    <x:row r="320">
      <x:c r="A320" t="str">
        <x:v>T0319</x:v>
      </x:c>
      <x:c r="B320" t="n">
        <x:v>7</x:v>
      </x:c>
      <x:c r="C320" t="str">
        <x:v>C009</x:v>
      </x:c>
      <x:c r="D320" t="str">
        <x:v>IT</x:v>
      </x:c>
      <x:c r="E320" t="str">
        <x:v>Q3</x:v>
      </x:c>
      <x:c r="F320" t="str">
        <x:v>継続契約</x:v>
      </x:c>
      <x:c r="G320" t="str">
        <x:v>導入・運用支援</x:v>
      </x:c>
      <x:c r="H320" s="16" t="n">
        <x:v>1176000</x:v>
      </x:c>
      <x:c r="I320" s="16" t="n">
        <x:v>251000</x:v>
      </x:c>
      <x:c r="J320" s="16" t="n">
        <x:v>160000</x:v>
      </x:c>
      <x:c r="K320" s="16" t="n">
        <x:v>46000</x:v>
      </x:c>
      <x:c r="L320" s="14" t="n">
        <x:f>SUM(I320:K320)</x:f>
        <x:v>457000</x:v>
      </x:c>
      <x:c r="M320" s="14" t="n">
        <x:f>H320-L320</x:f>
        <x:v>719000</x:v>
      </x:c>
    </x:row>
    <x:row r="321">
      <x:c r="A321" t="str">
        <x:v>T0320</x:v>
      </x:c>
      <x:c r="B321" t="n">
        <x:v>7</x:v>
      </x:c>
      <x:c r="C321" t="str">
        <x:v>C011</x:v>
      </x:c>
      <x:c r="D321" t="str">
        <x:v>IT</x:v>
      </x:c>
      <x:c r="E321" t="str">
        <x:v>Q3</x:v>
      </x:c>
      <x:c r="F321" t="str">
        <x:v>継続契約</x:v>
      </x:c>
      <x:c r="G321" t="str">
        <x:v>導入・運用支援</x:v>
      </x:c>
      <x:c r="H321" s="16" t="n">
        <x:v>872000</x:v>
      </x:c>
      <x:c r="I321" s="16" t="n">
        <x:v>160000</x:v>
      </x:c>
      <x:c r="J321" s="16" t="n">
        <x:v>102000</x:v>
      </x:c>
      <x:c r="K321" s="16" t="n">
        <x:v>28000</x:v>
      </x:c>
      <x:c r="L321" s="14" t="n">
        <x:f>SUM(I321:K321)</x:f>
        <x:v>290000</x:v>
      </x:c>
      <x:c r="M321" s="14" t="n">
        <x:f>H321-L321</x:f>
        <x:v>582000</x:v>
      </x:c>
    </x:row>
    <x:row r="322">
      <x:c r="A322" t="str">
        <x:v>T0321</x:v>
      </x:c>
      <x:c r="B322" t="n">
        <x:v>7</x:v>
      </x:c>
      <x:c r="C322" t="str">
        <x:v>C012</x:v>
      </x:c>
      <x:c r="D322" t="str">
        <x:v>IT</x:v>
      </x:c>
      <x:c r="E322" t="str">
        <x:v>Q3</x:v>
      </x:c>
      <x:c r="F322" t="str">
        <x:v>継続契約</x:v>
      </x:c>
      <x:c r="G322" t="str">
        <x:v>導入・運用支援</x:v>
      </x:c>
      <x:c r="H322" s="16" t="n">
        <x:v>626000</x:v>
      </x:c>
      <x:c r="I322" s="16" t="n">
        <x:v>115000</x:v>
      </x:c>
      <x:c r="J322" s="16" t="n">
        <x:v>73000</x:v>
      </x:c>
      <x:c r="K322" s="16" t="n">
        <x:v>21000</x:v>
      </x:c>
      <x:c r="L322" s="14" t="n">
        <x:f>SUM(I322:K322)</x:f>
        <x:v>209000</x:v>
      </x:c>
      <x:c r="M322" s="14" t="n">
        <x:f>H322-L322</x:f>
        <x:v>417000</x:v>
      </x:c>
    </x:row>
    <x:row r="323">
      <x:c r="A323" t="str">
        <x:v>T0322</x:v>
      </x:c>
      <x:c r="B323" t="n">
        <x:v>7</x:v>
      </x:c>
      <x:c r="C323" t="str">
        <x:v>C012</x:v>
      </x:c>
      <x:c r="D323" t="str">
        <x:v>IT</x:v>
      </x:c>
      <x:c r="E323" t="str">
        <x:v>Q3</x:v>
      </x:c>
      <x:c r="F323" t="str">
        <x:v>継続契約</x:v>
      </x:c>
      <x:c r="G323" t="str">
        <x:v>導入・運用支援</x:v>
      </x:c>
      <x:c r="H323" s="16" t="n">
        <x:v>676000</x:v>
      </x:c>
      <x:c r="I323" s="16" t="n">
        <x:v>127000</x:v>
      </x:c>
      <x:c r="J323" s="16" t="n">
        <x:v>80000</x:v>
      </x:c>
      <x:c r="K323" s="16" t="n">
        <x:v>23000</x:v>
      </x:c>
      <x:c r="L323" s="14" t="n">
        <x:f>SUM(I323:K323)</x:f>
        <x:v>230000</x:v>
      </x:c>
      <x:c r="M323" s="14" t="n">
        <x:f>H323-L323</x:f>
        <x:v>446000</x:v>
      </x:c>
    </x:row>
    <x:row r="324">
      <x:c r="A324" t="str">
        <x:v>T0323</x:v>
      </x:c>
      <x:c r="B324" t="n">
        <x:v>7</x:v>
      </x:c>
      <x:c r="C324" t="str">
        <x:v>C013</x:v>
      </x:c>
      <x:c r="D324" t="str">
        <x:v>IT</x:v>
      </x:c>
      <x:c r="E324" t="str">
        <x:v>Q3</x:v>
      </x:c>
      <x:c r="F324" t="str">
        <x:v>継続契約</x:v>
      </x:c>
      <x:c r="G324" t="str">
        <x:v>導入・運用支援</x:v>
      </x:c>
      <x:c r="H324" s="16" t="n">
        <x:v>1472000</x:v>
      </x:c>
      <x:c r="I324" s="16" t="n">
        <x:v>316000</x:v>
      </x:c>
      <x:c r="J324" s="16" t="n">
        <x:v>201000</x:v>
      </x:c>
      <x:c r="K324" s="16" t="n">
        <x:v>57000</x:v>
      </x:c>
      <x:c r="L324" s="14" t="n">
        <x:f>SUM(I324:K324)</x:f>
        <x:v>574000</x:v>
      </x:c>
      <x:c r="M324" s="14" t="n">
        <x:f>H324-L324</x:f>
        <x:v>898000</x:v>
      </x:c>
    </x:row>
    <x:row r="325">
      <x:c r="A325" t="str">
        <x:v>T0324</x:v>
      </x:c>
      <x:c r="B325" t="n">
        <x:v>7</x:v>
      </x:c>
      <x:c r="C325" t="str">
        <x:v>C014</x:v>
      </x:c>
      <x:c r="D325" t="str">
        <x:v>IT</x:v>
      </x:c>
      <x:c r="E325" t="str">
        <x:v>Q3</x:v>
      </x:c>
      <x:c r="F325" t="str">
        <x:v>継続契約</x:v>
      </x:c>
      <x:c r="G325" t="str">
        <x:v>導入・運用支援</x:v>
      </x:c>
      <x:c r="H325" s="16" t="n">
        <x:v>1246000</x:v>
      </x:c>
      <x:c r="I325" s="16" t="n">
        <x:v>237000</x:v>
      </x:c>
      <x:c r="J325" s="16" t="n">
        <x:v>150000</x:v>
      </x:c>
      <x:c r="K325" s="16" t="n">
        <x:v>43000</x:v>
      </x:c>
      <x:c r="L325" s="14" t="n">
        <x:f>SUM(I325:K325)</x:f>
        <x:v>430000</x:v>
      </x:c>
      <x:c r="M325" s="14" t="n">
        <x:f>H325-L325</x:f>
        <x:v>816000</x:v>
      </x:c>
    </x:row>
    <x:row r="326">
      <x:c r="A326" t="str">
        <x:v>T0325</x:v>
      </x:c>
      <x:c r="B326" t="n">
        <x:v>7</x:v>
      </x:c>
      <x:c r="C326" t="str">
        <x:v>C015</x:v>
      </x:c>
      <x:c r="D326" t="str">
        <x:v>IT</x:v>
      </x:c>
      <x:c r="E326" t="str">
        <x:v>Q3</x:v>
      </x:c>
      <x:c r="F326" t="str">
        <x:v>スポット中心</x:v>
      </x:c>
      <x:c r="G326" t="str">
        <x:v>導入・運用支援</x:v>
      </x:c>
      <x:c r="H326" s="16" t="n">
        <x:v>443000</x:v>
      </x:c>
      <x:c r="I326" s="16" t="n">
        <x:v>73000</x:v>
      </x:c>
      <x:c r="J326" s="16" t="n">
        <x:v>46000</x:v>
      </x:c>
      <x:c r="K326" s="16" t="n">
        <x:v>13000</x:v>
      </x:c>
      <x:c r="L326" s="14" t="n">
        <x:f>SUM(I326:K326)</x:f>
        <x:v>132000</x:v>
      </x:c>
      <x:c r="M326" s="14" t="n">
        <x:f>H326-L326</x:f>
        <x:v>311000</x:v>
      </x:c>
    </x:row>
    <x:row r="327">
      <x:c r="A327" t="str">
        <x:v>T0326</x:v>
      </x:c>
      <x:c r="B327" t="n">
        <x:v>7</x:v>
      </x:c>
      <x:c r="C327" t="str">
        <x:v>C015</x:v>
      </x:c>
      <x:c r="D327" t="str">
        <x:v>IT</x:v>
      </x:c>
      <x:c r="E327" t="str">
        <x:v>Q3</x:v>
      </x:c>
      <x:c r="F327" t="str">
        <x:v>スポット中心</x:v>
      </x:c>
      <x:c r="G327" t="str">
        <x:v>導入・運用支援</x:v>
      </x:c>
      <x:c r="H327" s="16" t="n">
        <x:v>317000</x:v>
      </x:c>
      <x:c r="I327" s="16" t="n">
        <x:v>57000</x:v>
      </x:c>
      <x:c r="J327" s="16" t="n">
        <x:v>36000</x:v>
      </x:c>
      <x:c r="K327" s="16" t="n">
        <x:v>11000</x:v>
      </x:c>
      <x:c r="L327" s="14" t="n">
        <x:f>SUM(I327:K327)</x:f>
        <x:v>104000</x:v>
      </x:c>
      <x:c r="M327" s="14" t="n">
        <x:f>H327-L327</x:f>
        <x:v>213000</x:v>
      </x:c>
    </x:row>
    <x:row r="328">
      <x:c r="A328" t="str">
        <x:v>T0327</x:v>
      </x:c>
      <x:c r="B328" t="n">
        <x:v>7</x:v>
      </x:c>
      <x:c r="C328" t="str">
        <x:v>C016</x:v>
      </x:c>
      <x:c r="D328" t="str">
        <x:v>IT</x:v>
      </x:c>
      <x:c r="E328" t="str">
        <x:v>Q3</x:v>
      </x:c>
      <x:c r="F328" t="str">
        <x:v>継続契約</x:v>
      </x:c>
      <x:c r="G328" t="str">
        <x:v>導入・運用支援</x:v>
      </x:c>
      <x:c r="H328" s="16" t="n">
        <x:v>589000</x:v>
      </x:c>
      <x:c r="I328" s="16" t="n">
        <x:v>120000</x:v>
      </x:c>
      <x:c r="J328" s="16" t="n">
        <x:v>77000</x:v>
      </x:c>
      <x:c r="K328" s="16" t="n">
        <x:v>22000</x:v>
      </x:c>
      <x:c r="L328" s="14" t="n">
        <x:f>SUM(I328:K328)</x:f>
        <x:v>219000</x:v>
      </x:c>
      <x:c r="M328" s="14" t="n">
        <x:f>H328-L328</x:f>
        <x:v>370000</x:v>
      </x:c>
    </x:row>
    <x:row r="329">
      <x:c r="A329" t="str">
        <x:v>T0328</x:v>
      </x:c>
      <x:c r="B329" t="n">
        <x:v>7</x:v>
      </x:c>
      <x:c r="C329" t="str">
        <x:v>C016</x:v>
      </x:c>
      <x:c r="D329" t="str">
        <x:v>IT</x:v>
      </x:c>
      <x:c r="E329" t="str">
        <x:v>Q3</x:v>
      </x:c>
      <x:c r="F329" t="str">
        <x:v>継続契約</x:v>
      </x:c>
      <x:c r="G329" t="str">
        <x:v>導入・運用支援</x:v>
      </x:c>
      <x:c r="H329" s="16" t="n">
        <x:v>366000</x:v>
      </x:c>
      <x:c r="I329" s="16" t="n">
        <x:v>68000</x:v>
      </x:c>
      <x:c r="J329" s="16" t="n">
        <x:v>43000</x:v>
      </x:c>
      <x:c r="K329" s="16" t="n">
        <x:v>12000</x:v>
      </x:c>
      <x:c r="L329" s="14" t="n">
        <x:f>SUM(I329:K329)</x:f>
        <x:v>123000</x:v>
      </x:c>
      <x:c r="M329" s="14" t="n">
        <x:f>H329-L329</x:f>
        <x:v>243000</x:v>
      </x:c>
    </x:row>
    <x:row r="330">
      <x:c r="A330" t="str">
        <x:v>T0329</x:v>
      </x:c>
      <x:c r="B330" t="n">
        <x:v>7</x:v>
      </x:c>
      <x:c r="C330" t="str">
        <x:v>C017</x:v>
      </x:c>
      <x:c r="D330" t="str">
        <x:v>IT</x:v>
      </x:c>
      <x:c r="E330" t="str">
        <x:v>Q3</x:v>
      </x:c>
      <x:c r="F330" t="str">
        <x:v>継続契約</x:v>
      </x:c>
      <x:c r="G330" t="str">
        <x:v>導入・運用支援</x:v>
      </x:c>
      <x:c r="H330" s="16" t="n">
        <x:v>933000</x:v>
      </x:c>
      <x:c r="I330" s="16" t="n">
        <x:v>181000</x:v>
      </x:c>
      <x:c r="J330" s="16" t="n">
        <x:v>115000</x:v>
      </x:c>
      <x:c r="K330" s="16" t="n">
        <x:v>33000</x:v>
      </x:c>
      <x:c r="L330" s="14" t="n">
        <x:f>SUM(I330:K330)</x:f>
        <x:v>329000</x:v>
      </x:c>
      <x:c r="M330" s="14" t="n">
        <x:f>H330-L330</x:f>
        <x:v>604000</x:v>
      </x:c>
    </x:row>
    <x:row r="331">
      <x:c r="A331" t="str">
        <x:v>T0330</x:v>
      </x:c>
      <x:c r="B331" t="n">
        <x:v>7</x:v>
      </x:c>
      <x:c r="C331" t="str">
        <x:v>C018</x:v>
      </x:c>
      <x:c r="D331" t="str">
        <x:v>IT</x:v>
      </x:c>
      <x:c r="E331" t="str">
        <x:v>Q3</x:v>
      </x:c>
      <x:c r="F331" t="str">
        <x:v>継続契約</x:v>
      </x:c>
      <x:c r="G331" t="str">
        <x:v>導入・運用支援</x:v>
      </x:c>
      <x:c r="H331" s="16" t="n">
        <x:v>652000</x:v>
      </x:c>
      <x:c r="I331" s="16" t="n">
        <x:v>114000</x:v>
      </x:c>
      <x:c r="J331" s="16" t="n">
        <x:v>72000</x:v>
      </x:c>
      <x:c r="K331" s="16" t="n">
        <x:v>21000</x:v>
      </x:c>
      <x:c r="L331" s="14" t="n">
        <x:f>SUM(I331:K331)</x:f>
        <x:v>207000</x:v>
      </x:c>
      <x:c r="M331" s="14" t="n">
        <x:f>H331-L331</x:f>
        <x:v>445000</x:v>
      </x:c>
    </x:row>
    <x:row r="332">
      <x:c r="A332" t="str">
        <x:v>T0331</x:v>
      </x:c>
      <x:c r="B332" t="n">
        <x:v>7</x:v>
      </x:c>
      <x:c r="C332" t="str">
        <x:v>C018</x:v>
      </x:c>
      <x:c r="D332" t="str">
        <x:v>IT</x:v>
      </x:c>
      <x:c r="E332" t="str">
        <x:v>Q3</x:v>
      </x:c>
      <x:c r="F332" t="str">
        <x:v>継続契約</x:v>
      </x:c>
      <x:c r="G332" t="str">
        <x:v>導入・運用支援</x:v>
      </x:c>
      <x:c r="H332" s="16" t="n">
        <x:v>731000</x:v>
      </x:c>
      <x:c r="I332" s="16" t="n">
        <x:v>143000</x:v>
      </x:c>
      <x:c r="J332" s="16" t="n">
        <x:v>91000</x:v>
      </x:c>
      <x:c r="K332" s="16" t="n">
        <x:v>26000</x:v>
      </x:c>
      <x:c r="L332" s="14" t="n">
        <x:f>SUM(I332:K332)</x:f>
        <x:v>260000</x:v>
      </x:c>
      <x:c r="M332" s="14" t="n">
        <x:f>H332-L332</x:f>
        <x:v>471000</x:v>
      </x:c>
    </x:row>
    <x:row r="333">
      <x:c r="A333" t="str">
        <x:v>T0332</x:v>
      </x:c>
      <x:c r="B333" t="n">
        <x:v>7</x:v>
      </x:c>
      <x:c r="C333" t="str">
        <x:v>C019</x:v>
      </x:c>
      <x:c r="D333" t="str">
        <x:v>BPO</x:v>
      </x:c>
      <x:c r="E333" t="str">
        <x:v>Q3</x:v>
      </x:c>
      <x:c r="F333" t="str">
        <x:v>継続契約</x:v>
      </x:c>
      <x:c r="G333" t="str">
        <x:v>業務運用代行</x:v>
      </x:c>
      <x:c r="H333" s="16" t="n">
        <x:v>3870000</x:v>
      </x:c>
      <x:c r="I333" s="16" t="n">
        <x:v>796000</x:v>
      </x:c>
      <x:c r="J333" s="16" t="n">
        <x:v>136000</x:v>
      </x:c>
      <x:c r="K333" s="16" t="n">
        <x:v>115000</x:v>
      </x:c>
      <x:c r="L333" s="14" t="n">
        <x:f>SUM(I333:K333)</x:f>
        <x:v>1047000</x:v>
      </x:c>
      <x:c r="M333" s="14" t="n">
        <x:f>H333-L333</x:f>
        <x:v>2823000</x:v>
      </x:c>
    </x:row>
    <x:row r="334">
      <x:c r="A334" t="str">
        <x:v>T0333</x:v>
      </x:c>
      <x:c r="B334" t="n">
        <x:v>7</x:v>
      </x:c>
      <x:c r="C334" t="str">
        <x:v>C020</x:v>
      </x:c>
      <x:c r="D334" t="str">
        <x:v>BPO</x:v>
      </x:c>
      <x:c r="E334" t="str">
        <x:v>Q3</x:v>
      </x:c>
      <x:c r="F334" t="str">
        <x:v>継続契約</x:v>
      </x:c>
      <x:c r="G334" t="str">
        <x:v>業務運用代行</x:v>
      </x:c>
      <x:c r="H334" s="16" t="n">
        <x:v>2353000</x:v>
      </x:c>
      <x:c r="I334" s="16" t="n">
        <x:v>505000</x:v>
      </x:c>
      <x:c r="J334" s="16" t="n">
        <x:v>86000</x:v>
      </x:c>
      <x:c r="K334" s="16" t="n">
        <x:v>73000</x:v>
      </x:c>
      <x:c r="L334" s="14" t="n">
        <x:f>SUM(I334:K334)</x:f>
        <x:v>664000</x:v>
      </x:c>
      <x:c r="M334" s="14" t="n">
        <x:f>H334-L334</x:f>
        <x:v>1689000</x:v>
      </x:c>
    </x:row>
    <x:row r="335">
      <x:c r="A335" t="str">
        <x:v>T0334</x:v>
      </x:c>
      <x:c r="B335" t="n">
        <x:v>7</x:v>
      </x:c>
      <x:c r="C335" t="str">
        <x:v>C021</x:v>
      </x:c>
      <x:c r="D335" t="str">
        <x:v>BPO</x:v>
      </x:c>
      <x:c r="E335" t="str">
        <x:v>Q3</x:v>
      </x:c>
      <x:c r="F335" t="str">
        <x:v>継続契約</x:v>
      </x:c>
      <x:c r="G335" t="str">
        <x:v>業務運用代行</x:v>
      </x:c>
      <x:c r="H335" s="16" t="n">
        <x:v>1050000</x:v>
      </x:c>
      <x:c r="I335" s="16" t="n">
        <x:v>228000</x:v>
      </x:c>
      <x:c r="J335" s="16" t="n">
        <x:v>39000</x:v>
      </x:c>
      <x:c r="K335" s="16" t="n">
        <x:v>33000</x:v>
      </x:c>
      <x:c r="L335" s="14" t="n">
        <x:f>SUM(I335:K335)</x:f>
        <x:v>300000</x:v>
      </x:c>
      <x:c r="M335" s="14" t="n">
        <x:f>H335-L335</x:f>
        <x:v>750000</x:v>
      </x:c>
    </x:row>
    <x:row r="336">
      <x:c r="A336" t="str">
        <x:v>T0335</x:v>
      </x:c>
      <x:c r="B336" t="n">
        <x:v>7</x:v>
      </x:c>
      <x:c r="C336" t="str">
        <x:v>C022</x:v>
      </x:c>
      <x:c r="D336" t="str">
        <x:v>BPO</x:v>
      </x:c>
      <x:c r="E336" t="str">
        <x:v>Q3</x:v>
      </x:c>
      <x:c r="F336" t="str">
        <x:v>継続契約</x:v>
      </x:c>
      <x:c r="G336" t="str">
        <x:v>業務運用代行</x:v>
      </x:c>
      <x:c r="H336" s="16" t="n">
        <x:v>405000</x:v>
      </x:c>
      <x:c r="I336" s="16" t="n">
        <x:v>102000</x:v>
      </x:c>
      <x:c r="J336" s="16" t="n">
        <x:v>17000</x:v>
      </x:c>
      <x:c r="K336" s="16" t="n">
        <x:v>15000</x:v>
      </x:c>
      <x:c r="L336" s="14" t="n">
        <x:f>SUM(I336:K336)</x:f>
        <x:v>134000</x:v>
      </x:c>
      <x:c r="M336" s="14" t="n">
        <x:f>H336-L336</x:f>
        <x:v>271000</x:v>
      </x:c>
    </x:row>
    <x:row r="337">
      <x:c r="A337" t="str">
        <x:v>T0336</x:v>
      </x:c>
      <x:c r="B337" t="n">
        <x:v>7</x:v>
      </x:c>
      <x:c r="C337" t="str">
        <x:v>C022</x:v>
      </x:c>
      <x:c r="D337" t="str">
        <x:v>BPO</x:v>
      </x:c>
      <x:c r="E337" t="str">
        <x:v>Q3</x:v>
      </x:c>
      <x:c r="F337" t="str">
        <x:v>継続契約</x:v>
      </x:c>
      <x:c r="G337" t="str">
        <x:v>業務運用代行</x:v>
      </x:c>
      <x:c r="H337" s="16" t="n">
        <x:v>576000</x:v>
      </x:c>
      <x:c r="I337" s="16" t="n">
        <x:v>150000</x:v>
      </x:c>
      <x:c r="J337" s="16" t="n">
        <x:v>26000</x:v>
      </x:c>
      <x:c r="K337" s="16" t="n">
        <x:v>21000</x:v>
      </x:c>
      <x:c r="L337" s="14" t="n">
        <x:f>SUM(I337:K337)</x:f>
        <x:v>197000</x:v>
      </x:c>
      <x:c r="M337" s="14" t="n">
        <x:f>H337-L337</x:f>
        <x:v>379000</x:v>
      </x:c>
    </x:row>
    <x:row r="338">
      <x:c r="A338" t="str">
        <x:v>T0337</x:v>
      </x:c>
      <x:c r="B338" t="n">
        <x:v>7</x:v>
      </x:c>
      <x:c r="C338" t="str">
        <x:v>C023</x:v>
      </x:c>
      <x:c r="D338" t="str">
        <x:v>BPO</x:v>
      </x:c>
      <x:c r="E338" t="str">
        <x:v>Q3</x:v>
      </x:c>
      <x:c r="F338" t="str">
        <x:v>継続契約</x:v>
      </x:c>
      <x:c r="G338" t="str">
        <x:v>業務運用代行</x:v>
      </x:c>
      <x:c r="H338" s="16" t="n">
        <x:v>1294000</x:v>
      </x:c>
      <x:c r="I338" s="16" t="n">
        <x:v>311000</x:v>
      </x:c>
      <x:c r="J338" s="16" t="n">
        <x:v>53000</x:v>
      </x:c>
      <x:c r="K338" s="16" t="n">
        <x:v>45000</x:v>
      </x:c>
      <x:c r="L338" s="14" t="n">
        <x:f>SUM(I338:K338)</x:f>
        <x:v>409000</x:v>
      </x:c>
      <x:c r="M338" s="14" t="n">
        <x:f>H338-L338</x:f>
        <x:v>885000</x:v>
      </x:c>
    </x:row>
    <x:row r="339">
      <x:c r="A339" t="str">
        <x:v>T0338</x:v>
      </x:c>
      <x:c r="B339" t="n">
        <x:v>7</x:v>
      </x:c>
      <x:c r="C339" t="str">
        <x:v>C025</x:v>
      </x:c>
      <x:c r="D339" t="str">
        <x:v>BPO</x:v>
      </x:c>
      <x:c r="E339" t="str">
        <x:v>Q3</x:v>
      </x:c>
      <x:c r="F339" t="str">
        <x:v>継続契約</x:v>
      </x:c>
      <x:c r="G339" t="str">
        <x:v>業務運用代行</x:v>
      </x:c>
      <x:c r="H339" s="16" t="n">
        <x:v>1574000</x:v>
      </x:c>
      <x:c r="I339" s="16" t="n">
        <x:v>349000</x:v>
      </x:c>
      <x:c r="J339" s="16" t="n">
        <x:v>60000</x:v>
      </x:c>
      <x:c r="K339" s="16" t="n">
        <x:v>50000</x:v>
      </x:c>
      <x:c r="L339" s="14" t="n">
        <x:f>SUM(I339:K339)</x:f>
        <x:v>459000</x:v>
      </x:c>
      <x:c r="M339" s="14" t="n">
        <x:f>H339-L339</x:f>
        <x:v>1115000</x:v>
      </x:c>
    </x:row>
    <x:row r="340">
      <x:c r="A340" t="str">
        <x:v>T0339</x:v>
      </x:c>
      <x:c r="B340" t="n">
        <x:v>7</x:v>
      </x:c>
      <x:c r="C340" t="str">
        <x:v>C026</x:v>
      </x:c>
      <x:c r="D340" t="str">
        <x:v>BPO</x:v>
      </x:c>
      <x:c r="E340" t="str">
        <x:v>Q3</x:v>
      </x:c>
      <x:c r="F340" t="str">
        <x:v>継続契約</x:v>
      </x:c>
      <x:c r="G340" t="str">
        <x:v>業務運用代行</x:v>
      </x:c>
      <x:c r="H340" s="16" t="n">
        <x:v>1503000</x:v>
      </x:c>
      <x:c r="I340" s="16" t="n">
        <x:v>366000</x:v>
      </x:c>
      <x:c r="J340" s="16" t="n">
        <x:v>63000</x:v>
      </x:c>
      <x:c r="K340" s="16" t="n">
        <x:v>53000</x:v>
      </x:c>
      <x:c r="L340" s="14" t="n">
        <x:f>SUM(I340:K340)</x:f>
        <x:v>482000</x:v>
      </x:c>
      <x:c r="M340" s="14" t="n">
        <x:f>H340-L340</x:f>
        <x:v>1021000</x:v>
      </x:c>
    </x:row>
    <x:row r="341">
      <x:c r="A341" t="str">
        <x:v>T0340</x:v>
      </x:c>
      <x:c r="B341" t="n">
        <x:v>7</x:v>
      </x:c>
      <x:c r="C341" t="str">
        <x:v>C027</x:v>
      </x:c>
      <x:c r="D341" t="str">
        <x:v>BPO</x:v>
      </x:c>
      <x:c r="E341" t="str">
        <x:v>Q3</x:v>
      </x:c>
      <x:c r="F341" t="str">
        <x:v>継続契約</x:v>
      </x:c>
      <x:c r="G341" t="str">
        <x:v>業務運用代行</x:v>
      </x:c>
      <x:c r="H341" s="16" t="n">
        <x:v>582000</x:v>
      </x:c>
      <x:c r="I341" s="16" t="n">
        <x:v>138000</x:v>
      </x:c>
      <x:c r="J341" s="16" t="n">
        <x:v>24000</x:v>
      </x:c>
      <x:c r="K341" s="16" t="n">
        <x:v>19000</x:v>
      </x:c>
      <x:c r="L341" s="14" t="n">
        <x:f>SUM(I341:K341)</x:f>
        <x:v>181000</x:v>
      </x:c>
      <x:c r="M341" s="14" t="n">
        <x:f>H341-L341</x:f>
        <x:v>401000</x:v>
      </x:c>
    </x:row>
    <x:row r="342">
      <x:c r="A342" t="str">
        <x:v>T0341</x:v>
      </x:c>
      <x:c r="B342" t="n">
        <x:v>7</x:v>
      </x:c>
      <x:c r="C342" t="str">
        <x:v>C027</x:v>
      </x:c>
      <x:c r="D342" t="str">
        <x:v>BPO</x:v>
      </x:c>
      <x:c r="E342" t="str">
        <x:v>Q3</x:v>
      </x:c>
      <x:c r="F342" t="str">
        <x:v>継続契約</x:v>
      </x:c>
      <x:c r="G342" t="str">
        <x:v>業務運用代行</x:v>
      </x:c>
      <x:c r="H342" s="16" t="n">
        <x:v>511000</x:v>
      </x:c>
      <x:c r="I342" s="16" t="n">
        <x:v>119000</x:v>
      </x:c>
      <x:c r="J342" s="16" t="n">
        <x:v>20000</x:v>
      </x:c>
      <x:c r="K342" s="16" t="n">
        <x:v>17000</x:v>
      </x:c>
      <x:c r="L342" s="14" t="n">
        <x:f>SUM(I342:K342)</x:f>
        <x:v>156000</x:v>
      </x:c>
      <x:c r="M342" s="14" t="n">
        <x:f>H342-L342</x:f>
        <x:v>355000</x:v>
      </x:c>
    </x:row>
    <x:row r="343">
      <x:c r="A343" t="str">
        <x:v>T0342</x:v>
      </x:c>
      <x:c r="B343" t="n">
        <x:v>7</x:v>
      </x:c>
      <x:c r="C343" t="str">
        <x:v>C029</x:v>
      </x:c>
      <x:c r="D343" t="str">
        <x:v>BPO</x:v>
      </x:c>
      <x:c r="E343" t="str">
        <x:v>Q3</x:v>
      </x:c>
      <x:c r="F343" t="str">
        <x:v>継続契約</x:v>
      </x:c>
      <x:c r="G343" t="str">
        <x:v>業務運用代行</x:v>
      </x:c>
      <x:c r="H343" s="16" t="n">
        <x:v>1174000</x:v>
      </x:c>
      <x:c r="I343" s="16" t="n">
        <x:v>298000</x:v>
      </x:c>
      <x:c r="J343" s="16" t="n">
        <x:v>51000</x:v>
      </x:c>
      <x:c r="K343" s="16" t="n">
        <x:v>43000</x:v>
      </x:c>
      <x:c r="L343" s="14" t="n">
        <x:f>SUM(I343:K343)</x:f>
        <x:v>392000</x:v>
      </x:c>
      <x:c r="M343" s="14" t="n">
        <x:f>H343-L343</x:f>
        <x:v>782000</x:v>
      </x:c>
    </x:row>
    <x:row r="344">
      <x:c r="A344" t="str">
        <x:v>T0343</x:v>
      </x:c>
      <x:c r="B344" t="n">
        <x:v>7</x:v>
      </x:c>
      <x:c r="C344" t="str">
        <x:v>C030</x:v>
      </x:c>
      <x:c r="D344" t="str">
        <x:v>BPO</x:v>
      </x:c>
      <x:c r="E344" t="str">
        <x:v>Q3</x:v>
      </x:c>
      <x:c r="F344" t="str">
        <x:v>継続契約</x:v>
      </x:c>
      <x:c r="G344" t="str">
        <x:v>業務運用代行</x:v>
      </x:c>
      <x:c r="H344" s="16" t="n">
        <x:v>1435000</x:v>
      </x:c>
      <x:c r="I344" s="16" t="n">
        <x:v>340000</x:v>
      </x:c>
      <x:c r="J344" s="16" t="n">
        <x:v>58000</x:v>
      </x:c>
      <x:c r="K344" s="16" t="n">
        <x:v>50000</x:v>
      </x:c>
      <x:c r="L344" s="14" t="n">
        <x:f>SUM(I344:K344)</x:f>
        <x:v>448000</x:v>
      </x:c>
      <x:c r="M344" s="14" t="n">
        <x:f>H344-L344</x:f>
        <x:v>987000</x:v>
      </x:c>
    </x:row>
    <x:row r="345">
      <x:c r="A345" t="str">
        <x:v>T0344</x:v>
      </x:c>
      <x:c r="B345" t="n">
        <x:v>7</x:v>
      </x:c>
      <x:c r="C345" t="str">
        <x:v>C031</x:v>
      </x:c>
      <x:c r="D345" t="str">
        <x:v>BPO</x:v>
      </x:c>
      <x:c r="E345" t="str">
        <x:v>Q3</x:v>
      </x:c>
      <x:c r="F345" t="str">
        <x:v>継続契約</x:v>
      </x:c>
      <x:c r="G345" t="str">
        <x:v>業務運用代行</x:v>
      </x:c>
      <x:c r="H345" s="16" t="n">
        <x:v>1061000</x:v>
      </x:c>
      <x:c r="I345" s="16" t="n">
        <x:v>258000</x:v>
      </x:c>
      <x:c r="J345" s="16" t="n">
        <x:v>44000</x:v>
      </x:c>
      <x:c r="K345" s="16" t="n">
        <x:v>38000</x:v>
      </x:c>
      <x:c r="L345" s="14" t="n">
        <x:f>SUM(I345:K345)</x:f>
        <x:v>340000</x:v>
      </x:c>
      <x:c r="M345" s="14" t="n">
        <x:f>H345-L345</x:f>
        <x:v>721000</x:v>
      </x:c>
    </x:row>
    <x:row r="346">
      <x:c r="A346" t="str">
        <x:v>T0345</x:v>
      </x:c>
      <x:c r="B346" t="n">
        <x:v>7</x:v>
      </x:c>
      <x:c r="C346" t="str">
        <x:v>C032</x:v>
      </x:c>
      <x:c r="D346" t="str">
        <x:v>BPO</x:v>
      </x:c>
      <x:c r="E346" t="str">
        <x:v>Q3</x:v>
      </x:c>
      <x:c r="F346" t="str">
        <x:v>継続契約</x:v>
      </x:c>
      <x:c r="G346" t="str">
        <x:v>業務運用代行</x:v>
      </x:c>
      <x:c r="H346" s="16" t="n">
        <x:v>679000</x:v>
      </x:c>
      <x:c r="I346" s="16" t="n">
        <x:v>163000</x:v>
      </x:c>
      <x:c r="J346" s="16" t="n">
        <x:v>28000</x:v>
      </x:c>
      <x:c r="K346" s="16" t="n">
        <x:v>24000</x:v>
      </x:c>
      <x:c r="L346" s="14" t="n">
        <x:f>SUM(I346:K346)</x:f>
        <x:v>215000</x:v>
      </x:c>
      <x:c r="M346" s="14" t="n">
        <x:f>H346-L346</x:f>
        <x:v>464000</x:v>
      </x:c>
    </x:row>
    <x:row r="347">
      <x:c r="A347" t="str">
        <x:v>T0346</x:v>
      </x:c>
      <x:c r="B347" t="n">
        <x:v>7</x:v>
      </x:c>
      <x:c r="C347" t="str">
        <x:v>C032</x:v>
      </x:c>
      <x:c r="D347" t="str">
        <x:v>BPO</x:v>
      </x:c>
      <x:c r="E347" t="str">
        <x:v>Q3</x:v>
      </x:c>
      <x:c r="F347" t="str">
        <x:v>継続契約</x:v>
      </x:c>
      <x:c r="G347" t="str">
        <x:v>業務運用代行</x:v>
      </x:c>
      <x:c r="H347" s="16" t="n">
        <x:v>560000</x:v>
      </x:c>
      <x:c r="I347" s="16" t="n">
        <x:v>128000</x:v>
      </x:c>
      <x:c r="J347" s="16" t="n">
        <x:v>22000</x:v>
      </x:c>
      <x:c r="K347" s="16" t="n">
        <x:v>18000</x:v>
      </x:c>
      <x:c r="L347" s="14" t="n">
        <x:f>SUM(I347:K347)</x:f>
        <x:v>168000</x:v>
      </x:c>
      <x:c r="M347" s="14" t="n">
        <x:f>H347-L347</x:f>
        <x:v>392000</x:v>
      </x:c>
    </x:row>
    <x:row r="348">
      <x:c r="A348" t="str">
        <x:v>T0347</x:v>
      </x:c>
      <x:c r="B348" t="n">
        <x:v>7</x:v>
      </x:c>
      <x:c r="C348" t="str">
        <x:v>C033</x:v>
      </x:c>
      <x:c r="D348" t="str">
        <x:v>BPO</x:v>
      </x:c>
      <x:c r="E348" t="str">
        <x:v>Q3</x:v>
      </x:c>
      <x:c r="F348" t="str">
        <x:v>継続契約</x:v>
      </x:c>
      <x:c r="G348" t="str">
        <x:v>業務運用代行</x:v>
      </x:c>
      <x:c r="H348" s="16" t="n">
        <x:v>1587000</x:v>
      </x:c>
      <x:c r="I348" s="16" t="n">
        <x:v>407000</x:v>
      </x:c>
      <x:c r="J348" s="16" t="n">
        <x:v>70000</x:v>
      </x:c>
      <x:c r="K348" s="16" t="n">
        <x:v>59000</x:v>
      </x:c>
      <x:c r="L348" s="14" t="n">
        <x:f>SUM(I348:K348)</x:f>
        <x:v>536000</x:v>
      </x:c>
      <x:c r="M348" s="14" t="n">
        <x:f>H348-L348</x:f>
        <x:v>1051000</x:v>
      </x:c>
    </x:row>
    <x:row r="349">
      <x:c r="A349" t="str">
        <x:v>T0348</x:v>
      </x:c>
      <x:c r="B349" t="n">
        <x:v>7</x:v>
      </x:c>
      <x:c r="C349" t="str">
        <x:v>C034</x:v>
      </x:c>
      <x:c r="D349" t="str">
        <x:v>TRN</x:v>
      </x:c>
      <x:c r="E349" t="str">
        <x:v>Q3</x:v>
      </x:c>
      <x:c r="F349" t="str">
        <x:v>継続契約</x:v>
      </x:c>
      <x:c r="G349" t="str">
        <x:v>研修プログラム</x:v>
      </x:c>
      <x:c r="H349" s="16" t="n">
        <x:v>629000</x:v>
      </x:c>
      <x:c r="I349" s="16" t="n">
        <x:v>48000</x:v>
      </x:c>
      <x:c r="J349" s="16" t="n">
        <x:v>24000</x:v>
      </x:c>
      <x:c r="K349" s="16" t="n">
        <x:v>62000</x:v>
      </x:c>
      <x:c r="L349" s="14" t="n">
        <x:f>SUM(I349:K349)</x:f>
        <x:v>134000</x:v>
      </x:c>
      <x:c r="M349" s="14" t="n">
        <x:f>H349-L349</x:f>
        <x:v>495000</x:v>
      </x:c>
    </x:row>
    <x:row r="350">
      <x:c r="A350" t="str">
        <x:v>T0349</x:v>
      </x:c>
      <x:c r="B350" t="n">
        <x:v>7</x:v>
      </x:c>
      <x:c r="C350" t="str">
        <x:v>C034</x:v>
      </x:c>
      <x:c r="D350" t="str">
        <x:v>TRN</x:v>
      </x:c>
      <x:c r="E350" t="str">
        <x:v>Q3</x:v>
      </x:c>
      <x:c r="F350" t="str">
        <x:v>継続契約</x:v>
      </x:c>
      <x:c r="G350" t="str">
        <x:v>研修プログラム</x:v>
      </x:c>
      <x:c r="H350" s="16" t="n">
        <x:v>701000</x:v>
      </x:c>
      <x:c r="I350" s="16" t="n">
        <x:v>47000</x:v>
      </x:c>
      <x:c r="J350" s="16" t="n">
        <x:v>24000</x:v>
      </x:c>
      <x:c r="K350" s="16" t="n">
        <x:v>60000</x:v>
      </x:c>
      <x:c r="L350" s="14" t="n">
        <x:f>SUM(I350:K350)</x:f>
        <x:v>131000</x:v>
      </x:c>
      <x:c r="M350" s="14" t="n">
        <x:f>H350-L350</x:f>
        <x:v>570000</x:v>
      </x:c>
    </x:row>
    <x:row r="351">
      <x:c r="A351" t="str">
        <x:v>T0350</x:v>
      </x:c>
      <x:c r="B351" t="n">
        <x:v>7</x:v>
      </x:c>
      <x:c r="C351" t="str">
        <x:v>C035</x:v>
      </x:c>
      <x:c r="D351" t="str">
        <x:v>TRN</x:v>
      </x:c>
      <x:c r="E351" t="str">
        <x:v>Q3</x:v>
      </x:c>
      <x:c r="F351" t="str">
        <x:v>スポット中心</x:v>
      </x:c>
      <x:c r="G351" t="str">
        <x:v>研修プログラム</x:v>
      </x:c>
      <x:c r="H351" s="16" t="n">
        <x:v>845000</x:v>
      </x:c>
      <x:c r="I351" s="16" t="n">
        <x:v>61000</x:v>
      </x:c>
      <x:c r="J351" s="16" t="n">
        <x:v>31000</x:v>
      </x:c>
      <x:c r="K351" s="16" t="n">
        <x:v>78000</x:v>
      </x:c>
      <x:c r="L351" s="14" t="n">
        <x:f>SUM(I351:K351)</x:f>
        <x:v>170000</x:v>
      </x:c>
      <x:c r="M351" s="14" t="n">
        <x:f>H351-L351</x:f>
        <x:v>675000</x:v>
      </x:c>
    </x:row>
    <x:row r="352">
      <x:c r="A352" t="str">
        <x:v>T0351</x:v>
      </x:c>
      <x:c r="B352" t="n">
        <x:v>7</x:v>
      </x:c>
      <x:c r="C352" t="str">
        <x:v>C037</x:v>
      </x:c>
      <x:c r="D352" t="str">
        <x:v>TRN</x:v>
      </x:c>
      <x:c r="E352" t="str">
        <x:v>Q3</x:v>
      </x:c>
      <x:c r="F352" t="str">
        <x:v>継続契約</x:v>
      </x:c>
      <x:c r="G352" t="str">
        <x:v>研修プログラム</x:v>
      </x:c>
      <x:c r="H352" s="16" t="n">
        <x:v>307000</x:v>
      </x:c>
      <x:c r="I352" s="16" t="n">
        <x:v>16000</x:v>
      </x:c>
      <x:c r="J352" s="16" t="n">
        <x:v>8000</x:v>
      </x:c>
      <x:c r="K352" s="16" t="n">
        <x:v>20000</x:v>
      </x:c>
      <x:c r="L352" s="14" t="n">
        <x:f>SUM(I352:K352)</x:f>
        <x:v>44000</x:v>
      </x:c>
      <x:c r="M352" s="14" t="n">
        <x:f>H352-L352</x:f>
        <x:v>263000</x:v>
      </x:c>
    </x:row>
    <x:row r="353">
      <x:c r="A353" t="str">
        <x:v>T0352</x:v>
      </x:c>
      <x:c r="B353" t="n">
        <x:v>7</x:v>
      </x:c>
      <x:c r="C353" t="str">
        <x:v>C037</x:v>
      </x:c>
      <x:c r="D353" t="str">
        <x:v>TRN</x:v>
      </x:c>
      <x:c r="E353" t="str">
        <x:v>Q3</x:v>
      </x:c>
      <x:c r="F353" t="str">
        <x:v>継続契約</x:v>
      </x:c>
      <x:c r="G353" t="str">
        <x:v>研修プログラム</x:v>
      </x:c>
      <x:c r="H353" s="16" t="n">
        <x:v>419000</x:v>
      </x:c>
      <x:c r="I353" s="16" t="n">
        <x:v>33000</x:v>
      </x:c>
      <x:c r="J353" s="16" t="n">
        <x:v>16000</x:v>
      </x:c>
      <x:c r="K353" s="16" t="n">
        <x:v>42000</x:v>
      </x:c>
      <x:c r="L353" s="14" t="n">
        <x:f>SUM(I353:K353)</x:f>
        <x:v>91000</x:v>
      </x:c>
      <x:c r="M353" s="14" t="n">
        <x:f>H353-L353</x:f>
        <x:v>328000</x:v>
      </x:c>
    </x:row>
    <x:row r="354">
      <x:c r="A354" t="str">
        <x:v>T0353</x:v>
      </x:c>
      <x:c r="B354" t="n">
        <x:v>7</x:v>
      </x:c>
      <x:c r="C354" t="str">
        <x:v>C038</x:v>
      </x:c>
      <x:c r="D354" t="str">
        <x:v>TRN</x:v>
      </x:c>
      <x:c r="E354" t="str">
        <x:v>Q3</x:v>
      </x:c>
      <x:c r="F354" t="str">
        <x:v>継続契約</x:v>
      </x:c>
      <x:c r="G354" t="str">
        <x:v>研修プログラム</x:v>
      </x:c>
      <x:c r="H354" s="16" t="n">
        <x:v>143000</x:v>
      </x:c>
      <x:c r="I354" s="16" t="n">
        <x:v>8000</x:v>
      </x:c>
      <x:c r="J354" s="16" t="n">
        <x:v>4000</x:v>
      </x:c>
      <x:c r="K354" s="16" t="n">
        <x:v>9000</x:v>
      </x:c>
      <x:c r="L354" s="14" t="n">
        <x:f>SUM(I354:K354)</x:f>
        <x:v>21000</x:v>
      </x:c>
      <x:c r="M354" s="14" t="n">
        <x:f>H354-L354</x:f>
        <x:v>122000</x:v>
      </x:c>
    </x:row>
    <x:row r="355">
      <x:c r="A355" t="str">
        <x:v>T0354</x:v>
      </x:c>
      <x:c r="B355" t="n">
        <x:v>7</x:v>
      </x:c>
      <x:c r="C355" t="str">
        <x:v>C038</x:v>
      </x:c>
      <x:c r="D355" t="str">
        <x:v>TRN</x:v>
      </x:c>
      <x:c r="E355" t="str">
        <x:v>Q3</x:v>
      </x:c>
      <x:c r="F355" t="str">
        <x:v>継続契約</x:v>
      </x:c>
      <x:c r="G355" t="str">
        <x:v>研修プログラム</x:v>
      </x:c>
      <x:c r="H355" s="16" t="n">
        <x:v>158000</x:v>
      </x:c>
      <x:c r="I355" s="16" t="n">
        <x:v>8000</x:v>
      </x:c>
      <x:c r="J355" s="16" t="n">
        <x:v>4000</x:v>
      </x:c>
      <x:c r="K355" s="16" t="n">
        <x:v>9000</x:v>
      </x:c>
      <x:c r="L355" s="14" t="n">
        <x:f>SUM(I355:K355)</x:f>
        <x:v>21000</x:v>
      </x:c>
      <x:c r="M355" s="14" t="n">
        <x:f>H355-L355</x:f>
        <x:v>137000</x:v>
      </x:c>
    </x:row>
    <x:row r="356">
      <x:c r="A356" t="str">
        <x:v>T0355</x:v>
      </x:c>
      <x:c r="B356" t="n">
        <x:v>7</x:v>
      </x:c>
      <x:c r="C356" t="str">
        <x:v>C039</x:v>
      </x:c>
      <x:c r="D356" t="str">
        <x:v>TRN</x:v>
      </x:c>
      <x:c r="E356" t="str">
        <x:v>Q3</x:v>
      </x:c>
      <x:c r="F356" t="str">
        <x:v>継続契約</x:v>
      </x:c>
      <x:c r="G356" t="str">
        <x:v>研修プログラム</x:v>
      </x:c>
      <x:c r="H356" s="16" t="n">
        <x:v>175000</x:v>
      </x:c>
      <x:c r="I356" s="16" t="n">
        <x:v>13000</x:v>
      </x:c>
      <x:c r="J356" s="16" t="n">
        <x:v>6000</x:v>
      </x:c>
      <x:c r="K356" s="16" t="n">
        <x:v>17000</x:v>
      </x:c>
      <x:c r="L356" s="14" t="n">
        <x:f>SUM(I356:K356)</x:f>
        <x:v>36000</x:v>
      </x:c>
      <x:c r="M356" s="14" t="n">
        <x:f>H356-L356</x:f>
        <x:v>139000</x:v>
      </x:c>
    </x:row>
    <x:row r="357">
      <x:c r="A357" t="str">
        <x:v>T0356</x:v>
      </x:c>
      <x:c r="B357" t="n">
        <x:v>7</x:v>
      </x:c>
      <x:c r="C357" t="str">
        <x:v>C039</x:v>
      </x:c>
      <x:c r="D357" t="str">
        <x:v>TRN</x:v>
      </x:c>
      <x:c r="E357" t="str">
        <x:v>Q3</x:v>
      </x:c>
      <x:c r="F357" t="str">
        <x:v>継続契約</x:v>
      </x:c>
      <x:c r="G357" t="str">
        <x:v>研修プログラム</x:v>
      </x:c>
      <x:c r="H357" s="16" t="n">
        <x:v>242000</x:v>
      </x:c>
      <x:c r="I357" s="16" t="n">
        <x:v>12000</x:v>
      </x:c>
      <x:c r="J357" s="16" t="n">
        <x:v>6000</x:v>
      </x:c>
      <x:c r="K357" s="16" t="n">
        <x:v>16000</x:v>
      </x:c>
      <x:c r="L357" s="14" t="n">
        <x:f>SUM(I357:K357)</x:f>
        <x:v>34000</x:v>
      </x:c>
      <x:c r="M357" s="14" t="n">
        <x:f>H357-L357</x:f>
        <x:v>208000</x:v>
      </x:c>
    </x:row>
    <x:row r="358">
      <x:c r="A358" t="str">
        <x:v>T0357</x:v>
      </x:c>
      <x:c r="B358" t="n">
        <x:v>7</x:v>
      </x:c>
      <x:c r="C358" t="str">
        <x:v>C040</x:v>
      </x:c>
      <x:c r="D358" t="str">
        <x:v>TRN</x:v>
      </x:c>
      <x:c r="E358" t="str">
        <x:v>Q3</x:v>
      </x:c>
      <x:c r="F358" t="str">
        <x:v>スポット中心</x:v>
      </x:c>
      <x:c r="G358" t="str">
        <x:v>研修プログラム</x:v>
      </x:c>
      <x:c r="H358" s="16" t="n">
        <x:v>278000</x:v>
      </x:c>
      <x:c r="I358" s="16" t="n">
        <x:v>17000</x:v>
      </x:c>
      <x:c r="J358" s="16" t="n">
        <x:v>9000</x:v>
      </x:c>
      <x:c r="K358" s="16" t="n">
        <x:v>22000</x:v>
      </x:c>
      <x:c r="L358" s="14" t="n">
        <x:f>SUM(I358:K358)</x:f>
        <x:v>48000</x:v>
      </x:c>
      <x:c r="M358" s="14" t="n">
        <x:f>H358-L358</x:f>
        <x:v>230000</x:v>
      </x:c>
    </x:row>
    <x:row r="359">
      <x:c r="A359" t="str">
        <x:v>T0358</x:v>
      </x:c>
      <x:c r="B359" t="n">
        <x:v>7</x:v>
      </x:c>
      <x:c r="C359" t="str">
        <x:v>C040</x:v>
      </x:c>
      <x:c r="D359" t="str">
        <x:v>TRN</x:v>
      </x:c>
      <x:c r="E359" t="str">
        <x:v>Q3</x:v>
      </x:c>
      <x:c r="F359" t="str">
        <x:v>スポット中心</x:v>
      </x:c>
      <x:c r="G359" t="str">
        <x:v>研修プログラム</x:v>
      </x:c>
      <x:c r="H359" s="16" t="n">
        <x:v>244000</x:v>
      </x:c>
      <x:c r="I359" s="16" t="n">
        <x:v>13000</x:v>
      </x:c>
      <x:c r="J359" s="16" t="n">
        <x:v>6000</x:v>
      </x:c>
      <x:c r="K359" s="16" t="n">
        <x:v>16000</x:v>
      </x:c>
      <x:c r="L359" s="14" t="n">
        <x:f>SUM(I359:K359)</x:f>
        <x:v>35000</x:v>
      </x:c>
      <x:c r="M359" s="14" t="n">
        <x:f>H359-L359</x:f>
        <x:v>209000</x:v>
      </x:c>
    </x:row>
    <x:row r="360">
      <x:c r="A360" t="str">
        <x:v>T0359</x:v>
      </x:c>
      <x:c r="B360" t="n">
        <x:v>7</x:v>
      </x:c>
      <x:c r="C360" t="str">
        <x:v>C041</x:v>
      </x:c>
      <x:c r="D360" t="str">
        <x:v>TRN</x:v>
      </x:c>
      <x:c r="E360" t="str">
        <x:v>Q3</x:v>
      </x:c>
      <x:c r="F360" t="str">
        <x:v>継続契約</x:v>
      </x:c>
      <x:c r="G360" t="str">
        <x:v>研修プログラム</x:v>
      </x:c>
      <x:c r="H360" s="16" t="n">
        <x:v>403000</x:v>
      </x:c>
      <x:c r="I360" s="16" t="n">
        <x:v>27000</x:v>
      </x:c>
      <x:c r="J360" s="16" t="n">
        <x:v>14000</x:v>
      </x:c>
      <x:c r="K360" s="16" t="n">
        <x:v>35000</x:v>
      </x:c>
      <x:c r="L360" s="14" t="n">
        <x:f>SUM(I360:K360)</x:f>
        <x:v>76000</x:v>
      </x:c>
      <x:c r="M360" s="14" t="n">
        <x:f>H360-L360</x:f>
        <x:v>327000</x:v>
      </x:c>
    </x:row>
    <x:row r="361">
      <x:c r="A361" t="str">
        <x:v>T0360</x:v>
      </x:c>
      <x:c r="B361" t="n">
        <x:v>7</x:v>
      </x:c>
      <x:c r="C361" t="str">
        <x:v>C043</x:v>
      </x:c>
      <x:c r="D361" t="str">
        <x:v>TRN</x:v>
      </x:c>
      <x:c r="E361" t="str">
        <x:v>Q3</x:v>
      </x:c>
      <x:c r="F361" t="str">
        <x:v>継続契約</x:v>
      </x:c>
      <x:c r="G361" t="str">
        <x:v>研修プログラム</x:v>
      </x:c>
      <x:c r="H361" s="16" t="n">
        <x:v>660000</x:v>
      </x:c>
      <x:c r="I361" s="16" t="n">
        <x:v>53000</x:v>
      </x:c>
      <x:c r="J361" s="16" t="n">
        <x:v>26000</x:v>
      </x:c>
      <x:c r="K361" s="16" t="n">
        <x:v>68000</x:v>
      </x:c>
      <x:c r="L361" s="14" t="n">
        <x:f>SUM(I361:K361)</x:f>
        <x:v>147000</x:v>
      </x:c>
      <x:c r="M361" s="14" t="n">
        <x:f>H361-L361</x:f>
        <x:v>513000</x:v>
      </x:c>
    </x:row>
    <x:row r="362">
      <x:c r="A362" t="str">
        <x:v>T0361</x:v>
      </x:c>
      <x:c r="B362" t="n">
        <x:v>7</x:v>
      </x:c>
      <x:c r="C362" t="str">
        <x:v>C044</x:v>
      </x:c>
      <x:c r="D362" t="str">
        <x:v>TRN</x:v>
      </x:c>
      <x:c r="E362" t="str">
        <x:v>Q3</x:v>
      </x:c>
      <x:c r="F362" t="str">
        <x:v>継続契約</x:v>
      </x:c>
      <x:c r="G362" t="str">
        <x:v>研修プログラム</x:v>
      </x:c>
      <x:c r="H362" s="16" t="n">
        <x:v>660000</x:v>
      </x:c>
      <x:c r="I362" s="16" t="n">
        <x:v>40000</x:v>
      </x:c>
      <x:c r="J362" s="16" t="n">
        <x:v>20000</x:v>
      </x:c>
      <x:c r="K362" s="16" t="n">
        <x:v>51000</x:v>
      </x:c>
      <x:c r="L362" s="14" t="n">
        <x:f>SUM(I362:K362)</x:f>
        <x:v>111000</x:v>
      </x:c>
      <x:c r="M362" s="14" t="n">
        <x:f>H362-L362</x:f>
        <x:v>549000</x:v>
      </x:c>
    </x:row>
    <x:row r="363">
      <x:c r="A363" t="str">
        <x:v>T0362</x:v>
      </x:c>
      <x:c r="B363" t="n">
        <x:v>8</x:v>
      </x:c>
      <x:c r="C363" t="str">
        <x:v>C001</x:v>
      </x:c>
      <x:c r="D363" t="str">
        <x:v>IT</x:v>
      </x:c>
      <x:c r="E363" t="str">
        <x:v>Q3</x:v>
      </x:c>
      <x:c r="F363" t="str">
        <x:v>継続契約</x:v>
      </x:c>
      <x:c r="G363" t="str">
        <x:v>導入・運用支援</x:v>
      </x:c>
      <x:c r="H363" s="16" t="n">
        <x:v>1783000</x:v>
      </x:c>
      <x:c r="I363" s="16" t="n">
        <x:v>338000</x:v>
      </x:c>
      <x:c r="J363" s="16" t="n">
        <x:v>215000</x:v>
      </x:c>
      <x:c r="K363" s="16" t="n">
        <x:v>61000</x:v>
      </x:c>
      <x:c r="L363" s="14" t="n">
        <x:f>SUM(I363:K363)</x:f>
        <x:v>614000</x:v>
      </x:c>
      <x:c r="M363" s="14" t="n">
        <x:f>H363-L363</x:f>
        <x:v>1169000</x:v>
      </x:c>
    </x:row>
    <x:row r="364">
      <x:c r="A364" t="str">
        <x:v>T0363</x:v>
      </x:c>
      <x:c r="B364" t="n">
        <x:v>8</x:v>
      </x:c>
      <x:c r="C364" t="str">
        <x:v>C001</x:v>
      </x:c>
      <x:c r="D364" t="str">
        <x:v>IT</x:v>
      </x:c>
      <x:c r="E364" t="str">
        <x:v>Q3</x:v>
      </x:c>
      <x:c r="F364" t="str">
        <x:v>継続契約</x:v>
      </x:c>
      <x:c r="G364" t="str">
        <x:v>導入・運用支援</x:v>
      </x:c>
      <x:c r="H364" s="16" t="n">
        <x:v>2060000</x:v>
      </x:c>
      <x:c r="I364" s="16" t="n">
        <x:v>388000</x:v>
      </x:c>
      <x:c r="J364" s="16" t="n">
        <x:v>247000</x:v>
      </x:c>
      <x:c r="K364" s="16" t="n">
        <x:v>71000</x:v>
      </x:c>
      <x:c r="L364" s="14" t="n">
        <x:f>SUM(I364:K364)</x:f>
        <x:v>706000</x:v>
      </x:c>
      <x:c r="M364" s="14" t="n">
        <x:f>H364-L364</x:f>
        <x:v>1354000</x:v>
      </x:c>
    </x:row>
    <x:row r="365">
      <x:c r="A365" t="str">
        <x:v>T0364</x:v>
      </x:c>
      <x:c r="B365" t="n">
        <x:v>8</x:v>
      </x:c>
      <x:c r="C365" t="str">
        <x:v>C002</x:v>
      </x:c>
      <x:c r="D365" t="str">
        <x:v>IT</x:v>
      </x:c>
      <x:c r="E365" t="str">
        <x:v>Q3</x:v>
      </x:c>
      <x:c r="F365" t="str">
        <x:v>継続契約</x:v>
      </x:c>
      <x:c r="G365" t="str">
        <x:v>導入・運用支援</x:v>
      </x:c>
      <x:c r="H365" s="16" t="n">
        <x:v>4478000</x:v>
      </x:c>
      <x:c r="I365" s="16" t="n">
        <x:v>947000</x:v>
      </x:c>
      <x:c r="J365" s="16" t="n">
        <x:v>602000</x:v>
      </x:c>
      <x:c r="K365" s="16" t="n">
        <x:v>172000</x:v>
      </x:c>
      <x:c r="L365" s="14" t="n">
        <x:f>SUM(I365:K365)</x:f>
        <x:v>1721000</x:v>
      </x:c>
      <x:c r="M365" s="14" t="n">
        <x:f>H365-L365</x:f>
        <x:v>2757000</x:v>
      </x:c>
    </x:row>
    <x:row r="366">
      <x:c r="A366" t="str">
        <x:v>T0365</x:v>
      </x:c>
      <x:c r="B366" t="n">
        <x:v>8</x:v>
      </x:c>
      <x:c r="C366" t="str">
        <x:v>C003</x:v>
      </x:c>
      <x:c r="D366" t="str">
        <x:v>IT</x:v>
      </x:c>
      <x:c r="E366" t="str">
        <x:v>Q3</x:v>
      </x:c>
      <x:c r="F366" t="str">
        <x:v>継続契約</x:v>
      </x:c>
      <x:c r="G366" t="str">
        <x:v>導入・運用支援</x:v>
      </x:c>
      <x:c r="H366" s="16" t="n">
        <x:v>2935000</x:v>
      </x:c>
      <x:c r="I366" s="16" t="n">
        <x:v>543000</x:v>
      </x:c>
      <x:c r="J366" s="16" t="n">
        <x:v>346000</x:v>
      </x:c>
      <x:c r="K366" s="16" t="n">
        <x:v>99000</x:v>
      </x:c>
      <x:c r="L366" s="14" t="n">
        <x:f>SUM(I366:K366)</x:f>
        <x:v>988000</x:v>
      </x:c>
      <x:c r="M366" s="14" t="n">
        <x:f>H366-L366</x:f>
        <x:v>1947000</x:v>
      </x:c>
    </x:row>
    <x:row r="367">
      <x:c r="A367" t="str">
        <x:v>T0366</x:v>
      </x:c>
      <x:c r="B367" t="n">
        <x:v>8</x:v>
      </x:c>
      <x:c r="C367" t="str">
        <x:v>C004</x:v>
      </x:c>
      <x:c r="D367" t="str">
        <x:v>IT</x:v>
      </x:c>
      <x:c r="E367" t="str">
        <x:v>Q3</x:v>
      </x:c>
      <x:c r="F367" t="str">
        <x:v>継続契約</x:v>
      </x:c>
      <x:c r="G367" t="str">
        <x:v>導入・運用支援</x:v>
      </x:c>
      <x:c r="H367" s="16" t="n">
        <x:v>569000</x:v>
      </x:c>
      <x:c r="I367" s="16" t="n">
        <x:v>101000</x:v>
      </x:c>
      <x:c r="J367" s="16" t="n">
        <x:v>64000</x:v>
      </x:c>
      <x:c r="K367" s="16" t="n">
        <x:v>18000</x:v>
      </x:c>
      <x:c r="L367" s="14" t="n">
        <x:f>SUM(I367:K367)</x:f>
        <x:v>183000</x:v>
      </x:c>
      <x:c r="M367" s="14" t="n">
        <x:f>H367-L367</x:f>
        <x:v>386000</x:v>
      </x:c>
    </x:row>
    <x:row r="368">
      <x:c r="A368" t="str">
        <x:v>T0367</x:v>
      </x:c>
      <x:c r="B368" t="n">
        <x:v>8</x:v>
      </x:c>
      <x:c r="C368" t="str">
        <x:v>C004</x:v>
      </x:c>
      <x:c r="D368" t="str">
        <x:v>IT</x:v>
      </x:c>
      <x:c r="E368" t="str">
        <x:v>Q3</x:v>
      </x:c>
      <x:c r="F368" t="str">
        <x:v>継続契約</x:v>
      </x:c>
      <x:c r="G368" t="str">
        <x:v>導入・運用支援</x:v>
      </x:c>
      <x:c r="H368" s="16" t="n">
        <x:v>769000</x:v>
      </x:c>
      <x:c r="I368" s="16" t="n">
        <x:v>162000</x:v>
      </x:c>
      <x:c r="J368" s="16" t="n">
        <x:v>103000</x:v>
      </x:c>
      <x:c r="K368" s="16" t="n">
        <x:v>30000</x:v>
      </x:c>
      <x:c r="L368" s="14" t="n">
        <x:f>SUM(I368:K368)</x:f>
        <x:v>295000</x:v>
      </x:c>
      <x:c r="M368" s="14" t="n">
        <x:f>H368-L368</x:f>
        <x:v>474000</x:v>
      </x:c>
    </x:row>
    <x:row r="369">
      <x:c r="A369" t="str">
        <x:v>T0368</x:v>
      </x:c>
      <x:c r="B369" t="n">
        <x:v>8</x:v>
      </x:c>
      <x:c r="C369" t="str">
        <x:v>C005</x:v>
      </x:c>
      <x:c r="D369" t="str">
        <x:v>IT</x:v>
      </x:c>
      <x:c r="E369" t="str">
        <x:v>Q3</x:v>
      </x:c>
      <x:c r="F369" t="str">
        <x:v>スポット中心</x:v>
      </x:c>
      <x:c r="G369" t="str">
        <x:v>導入・運用支援</x:v>
      </x:c>
      <x:c r="H369" s="16" t="n">
        <x:v>1301000</x:v>
      </x:c>
      <x:c r="I369" s="16" t="n">
        <x:v>256000</x:v>
      </x:c>
      <x:c r="J369" s="16" t="n">
        <x:v>163000</x:v>
      </x:c>
      <x:c r="K369" s="16" t="n">
        <x:v>47000</x:v>
      </x:c>
      <x:c r="L369" s="14" t="n">
        <x:f>SUM(I369:K369)</x:f>
        <x:v>466000</x:v>
      </x:c>
      <x:c r="M369" s="14" t="n">
        <x:f>H369-L369</x:f>
        <x:v>835000</x:v>
      </x:c>
    </x:row>
    <x:row r="370">
      <x:c r="A370" t="str">
        <x:v>T0369</x:v>
      </x:c>
      <x:c r="B370" t="n">
        <x:v>8</x:v>
      </x:c>
      <x:c r="C370" t="str">
        <x:v>C006</x:v>
      </x:c>
      <x:c r="D370" t="str">
        <x:v>IT</x:v>
      </x:c>
      <x:c r="E370" t="str">
        <x:v>Q3</x:v>
      </x:c>
      <x:c r="F370" t="str">
        <x:v>継続契約</x:v>
      </x:c>
      <x:c r="G370" t="str">
        <x:v>導入・運用支援</x:v>
      </x:c>
      <x:c r="H370" s="16" t="n">
        <x:v>363000</x:v>
      </x:c>
      <x:c r="I370" s="16" t="n">
        <x:v>60000</x:v>
      </x:c>
      <x:c r="J370" s="16" t="n">
        <x:v>38000</x:v>
      </x:c>
      <x:c r="K370" s="16" t="n">
        <x:v>11000</x:v>
      </x:c>
      <x:c r="L370" s="14" t="n">
        <x:f>SUM(I370:K370)</x:f>
        <x:v>109000</x:v>
      </x:c>
      <x:c r="M370" s="14" t="n">
        <x:f>H370-L370</x:f>
        <x:v>254000</x:v>
      </x:c>
    </x:row>
    <x:row r="371">
      <x:c r="A371" t="str">
        <x:v>T0370</x:v>
      </x:c>
      <x:c r="B371" t="n">
        <x:v>8</x:v>
      </x:c>
      <x:c r="C371" t="str">
        <x:v>C006</x:v>
      </x:c>
      <x:c r="D371" t="str">
        <x:v>IT</x:v>
      </x:c>
      <x:c r="E371" t="str">
        <x:v>Q3</x:v>
      </x:c>
      <x:c r="F371" t="str">
        <x:v>継続契約</x:v>
      </x:c>
      <x:c r="G371" t="str">
        <x:v>導入・運用支援</x:v>
      </x:c>
      <x:c r="H371" s="16" t="n">
        <x:v>339000</x:v>
      </x:c>
      <x:c r="I371" s="16" t="n">
        <x:v>69000</x:v>
      </x:c>
      <x:c r="J371" s="16" t="n">
        <x:v>44000</x:v>
      </x:c>
      <x:c r="K371" s="16" t="n">
        <x:v>13000</x:v>
      </x:c>
      <x:c r="L371" s="14" t="n">
        <x:f>SUM(I371:K371)</x:f>
        <x:v>126000</x:v>
      </x:c>
      <x:c r="M371" s="14" t="n">
        <x:f>H371-L371</x:f>
        <x:v>213000</x:v>
      </x:c>
    </x:row>
    <x:row r="372">
      <x:c r="A372" t="str">
        <x:v>T0371</x:v>
      </x:c>
      <x:c r="B372" t="n">
        <x:v>8</x:v>
      </x:c>
      <x:c r="C372" t="str">
        <x:v>C007</x:v>
      </x:c>
      <x:c r="D372" t="str">
        <x:v>IT</x:v>
      </x:c>
      <x:c r="E372" t="str">
        <x:v>Q3</x:v>
      </x:c>
      <x:c r="F372" t="str">
        <x:v>継続契約</x:v>
      </x:c>
      <x:c r="G372" t="str">
        <x:v>導入・運用支援</x:v>
      </x:c>
      <x:c r="H372" s="16" t="n">
        <x:v>487000</x:v>
      </x:c>
      <x:c r="I372" s="16" t="n">
        <x:v>83000</x:v>
      </x:c>
      <x:c r="J372" s="16" t="n">
        <x:v>53000</x:v>
      </x:c>
      <x:c r="K372" s="16" t="n">
        <x:v>15000</x:v>
      </x:c>
      <x:c r="L372" s="14" t="n">
        <x:f>SUM(I372:K372)</x:f>
        <x:v>151000</x:v>
      </x:c>
      <x:c r="M372" s="14" t="n">
        <x:f>H372-L372</x:f>
        <x:v>336000</x:v>
      </x:c>
    </x:row>
    <x:row r="373">
      <x:c r="A373" t="str">
        <x:v>T0372</x:v>
      </x:c>
      <x:c r="B373" t="n">
        <x:v>8</x:v>
      </x:c>
      <x:c r="C373" t="str">
        <x:v>C007</x:v>
      </x:c>
      <x:c r="D373" t="str">
        <x:v>IT</x:v>
      </x:c>
      <x:c r="E373" t="str">
        <x:v>Q3</x:v>
      </x:c>
      <x:c r="F373" t="str">
        <x:v>継続契約</x:v>
      </x:c>
      <x:c r="G373" t="str">
        <x:v>導入・運用支援</x:v>
      </x:c>
      <x:c r="H373" s="16" t="n">
        <x:v>600000</x:v>
      </x:c>
      <x:c r="I373" s="16" t="n">
        <x:v>130000</x:v>
      </x:c>
      <x:c r="J373" s="16" t="n">
        <x:v>83000</x:v>
      </x:c>
      <x:c r="K373" s="16" t="n">
        <x:v>23000</x:v>
      </x:c>
      <x:c r="L373" s="14" t="n">
        <x:f>SUM(I373:K373)</x:f>
        <x:v>236000</x:v>
      </x:c>
      <x:c r="M373" s="14" t="n">
        <x:f>H373-L373</x:f>
        <x:v>364000</x:v>
      </x:c>
    </x:row>
    <x:row r="374">
      <x:c r="A374" t="str">
        <x:v>T0373</x:v>
      </x:c>
      <x:c r="B374" t="n">
        <x:v>8</x:v>
      </x:c>
      <x:c r="C374" t="str">
        <x:v>C008</x:v>
      </x:c>
      <x:c r="D374" t="str">
        <x:v>IT</x:v>
      </x:c>
      <x:c r="E374" t="str">
        <x:v>Q3</x:v>
      </x:c>
      <x:c r="F374" t="str">
        <x:v>継続契約</x:v>
      </x:c>
      <x:c r="G374" t="str">
        <x:v>導入・運用支援</x:v>
      </x:c>
      <x:c r="H374" s="16" t="n">
        <x:v>349000</x:v>
      </x:c>
      <x:c r="I374" s="16" t="n">
        <x:v>69000</x:v>
      </x:c>
      <x:c r="J374" s="16" t="n">
        <x:v>44000</x:v>
      </x:c>
      <x:c r="K374" s="16" t="n">
        <x:v>13000</x:v>
      </x:c>
      <x:c r="L374" s="14" t="n">
        <x:f>SUM(I374:K374)</x:f>
        <x:v>126000</x:v>
      </x:c>
      <x:c r="M374" s="14" t="n">
        <x:f>H374-L374</x:f>
        <x:v>223000</x:v>
      </x:c>
    </x:row>
    <x:row r="375">
      <x:c r="A375" t="str">
        <x:v>T0374</x:v>
      </x:c>
      <x:c r="B375" t="n">
        <x:v>8</x:v>
      </x:c>
      <x:c r="C375" t="str">
        <x:v>C008</x:v>
      </x:c>
      <x:c r="D375" t="str">
        <x:v>IT</x:v>
      </x:c>
      <x:c r="E375" t="str">
        <x:v>Q3</x:v>
      </x:c>
      <x:c r="F375" t="str">
        <x:v>継続契約</x:v>
      </x:c>
      <x:c r="G375" t="str">
        <x:v>導入・運用支援</x:v>
      </x:c>
      <x:c r="H375" s="16" t="n">
        <x:v>303000</x:v>
      </x:c>
      <x:c r="I375" s="16" t="n">
        <x:v>55000</x:v>
      </x:c>
      <x:c r="J375" s="16" t="n">
        <x:v>35000</x:v>
      </x:c>
      <x:c r="K375" s="16" t="n">
        <x:v>10000</x:v>
      </x:c>
      <x:c r="L375" s="14" t="n">
        <x:f>SUM(I375:K375)</x:f>
        <x:v>100000</x:v>
      </x:c>
      <x:c r="M375" s="14" t="n">
        <x:f>H375-L375</x:f>
        <x:v>203000</x:v>
      </x:c>
    </x:row>
    <x:row r="376">
      <x:c r="A376" t="str">
        <x:v>T0375</x:v>
      </x:c>
      <x:c r="B376" t="n">
        <x:v>8</x:v>
      </x:c>
      <x:c r="C376" t="str">
        <x:v>C011</x:v>
      </x:c>
      <x:c r="D376" t="str">
        <x:v>IT</x:v>
      </x:c>
      <x:c r="E376" t="str">
        <x:v>Q3</x:v>
      </x:c>
      <x:c r="F376" t="str">
        <x:v>継続契約</x:v>
      </x:c>
      <x:c r="G376" t="str">
        <x:v>導入・運用支援</x:v>
      </x:c>
      <x:c r="H376" s="16" t="n">
        <x:v>726000</x:v>
      </x:c>
      <x:c r="I376" s="16" t="n">
        <x:v>163000</x:v>
      </x:c>
      <x:c r="J376" s="16" t="n">
        <x:v>104000</x:v>
      </x:c>
      <x:c r="K376" s="16" t="n">
        <x:v>30000</x:v>
      </x:c>
      <x:c r="L376" s="14" t="n">
        <x:f>SUM(I376:K376)</x:f>
        <x:v>297000</x:v>
      </x:c>
      <x:c r="M376" s="14" t="n">
        <x:f>H376-L376</x:f>
        <x:v>429000</x:v>
      </x:c>
    </x:row>
    <x:row r="377">
      <x:c r="A377" t="str">
        <x:v>T0376</x:v>
      </x:c>
      <x:c r="B377" t="n">
        <x:v>8</x:v>
      </x:c>
      <x:c r="C377" t="str">
        <x:v>C011</x:v>
      </x:c>
      <x:c r="D377" t="str">
        <x:v>IT</x:v>
      </x:c>
      <x:c r="E377" t="str">
        <x:v>Q3</x:v>
      </x:c>
      <x:c r="F377" t="str">
        <x:v>継続契約</x:v>
      </x:c>
      <x:c r="G377" t="str">
        <x:v>導入・運用支援</x:v>
      </x:c>
      <x:c r="H377" s="16" t="n">
        <x:v>686000</x:v>
      </x:c>
      <x:c r="I377" s="16" t="n">
        <x:v>128000</x:v>
      </x:c>
      <x:c r="J377" s="16" t="n">
        <x:v>81000</x:v>
      </x:c>
      <x:c r="K377" s="16" t="n">
        <x:v>23000</x:v>
      </x:c>
      <x:c r="L377" s="14" t="n">
        <x:f>SUM(I377:K377)</x:f>
        <x:v>232000</x:v>
      </x:c>
      <x:c r="M377" s="14" t="n">
        <x:f>H377-L377</x:f>
        <x:v>454000</x:v>
      </x:c>
    </x:row>
    <x:row r="378">
      <x:c r="A378" t="str">
        <x:v>T0377</x:v>
      </x:c>
      <x:c r="B378" t="n">
        <x:v>8</x:v>
      </x:c>
      <x:c r="C378" t="str">
        <x:v>C013</x:v>
      </x:c>
      <x:c r="D378" t="str">
        <x:v>IT</x:v>
      </x:c>
      <x:c r="E378" t="str">
        <x:v>Q3</x:v>
      </x:c>
      <x:c r="F378" t="str">
        <x:v>継続契約</x:v>
      </x:c>
      <x:c r="G378" t="str">
        <x:v>導入・運用支援</x:v>
      </x:c>
      <x:c r="H378" s="16" t="n">
        <x:v>1104000</x:v>
      </x:c>
      <x:c r="I378" s="16" t="n">
        <x:v>202000</x:v>
      </x:c>
      <x:c r="J378" s="16" t="n">
        <x:v>129000</x:v>
      </x:c>
      <x:c r="K378" s="16" t="n">
        <x:v>37000</x:v>
      </x:c>
      <x:c r="L378" s="14" t="n">
        <x:f>SUM(I378:K378)</x:f>
        <x:v>368000</x:v>
      </x:c>
      <x:c r="M378" s="14" t="n">
        <x:f>H378-L378</x:f>
        <x:v>736000</x:v>
      </x:c>
    </x:row>
    <x:row r="379">
      <x:c r="A379" t="str">
        <x:v>T0378</x:v>
      </x:c>
      <x:c r="B379" t="n">
        <x:v>8</x:v>
      </x:c>
      <x:c r="C379" t="str">
        <x:v>C015</x:v>
      </x:c>
      <x:c r="D379" t="str">
        <x:v>IT</x:v>
      </x:c>
      <x:c r="E379" t="str">
        <x:v>Q3</x:v>
      </x:c>
      <x:c r="F379" t="str">
        <x:v>スポット中心</x:v>
      </x:c>
      <x:c r="G379" t="str">
        <x:v>導入・運用支援</x:v>
      </x:c>
      <x:c r="H379" s="16" t="n">
        <x:v>946000</x:v>
      </x:c>
      <x:c r="I379" s="16" t="n">
        <x:v>192000</x:v>
      </x:c>
      <x:c r="J379" s="16" t="n">
        <x:v>122000</x:v>
      </x:c>
      <x:c r="K379" s="16" t="n">
        <x:v>35000</x:v>
      </x:c>
      <x:c r="L379" s="14" t="n">
        <x:f>SUM(I379:K379)</x:f>
        <x:v>349000</x:v>
      </x:c>
      <x:c r="M379" s="14" t="n">
        <x:f>H379-L379</x:f>
        <x:v>597000</x:v>
      </x:c>
    </x:row>
    <x:row r="380">
      <x:c r="A380" t="str">
        <x:v>T0379</x:v>
      </x:c>
      <x:c r="B380" t="n">
        <x:v>8</x:v>
      </x:c>
      <x:c r="C380" t="str">
        <x:v>C016</x:v>
      </x:c>
      <x:c r="D380" t="str">
        <x:v>IT</x:v>
      </x:c>
      <x:c r="E380" t="str">
        <x:v>Q3</x:v>
      </x:c>
      <x:c r="F380" t="str">
        <x:v>継続契約</x:v>
      </x:c>
      <x:c r="G380" t="str">
        <x:v>導入・運用支援</x:v>
      </x:c>
      <x:c r="H380" s="16" t="n">
        <x:v>1553000</x:v>
      </x:c>
      <x:c r="I380" s="16" t="n">
        <x:v>314000</x:v>
      </x:c>
      <x:c r="J380" s="16" t="n">
        <x:v>200000</x:v>
      </x:c>
      <x:c r="K380" s="16" t="n">
        <x:v>57000</x:v>
      </x:c>
      <x:c r="L380" s="14" t="n">
        <x:f>SUM(I380:K380)</x:f>
        <x:v>571000</x:v>
      </x:c>
      <x:c r="M380" s="14" t="n">
        <x:f>H380-L380</x:f>
        <x:v>982000</x:v>
      </x:c>
    </x:row>
    <x:row r="381">
      <x:c r="A381" t="str">
        <x:v>T0380</x:v>
      </x:c>
      <x:c r="B381" t="n">
        <x:v>8</x:v>
      </x:c>
      <x:c r="C381" t="str">
        <x:v>C017</x:v>
      </x:c>
      <x:c r="D381" t="str">
        <x:v>IT</x:v>
      </x:c>
      <x:c r="E381" t="str">
        <x:v>Q3</x:v>
      </x:c>
      <x:c r="F381" t="str">
        <x:v>継続契約</x:v>
      </x:c>
      <x:c r="G381" t="str">
        <x:v>導入・運用支援</x:v>
      </x:c>
      <x:c r="H381" s="16" t="n">
        <x:v>1436000</x:v>
      </x:c>
      <x:c r="I381" s="16" t="n">
        <x:v>234000</x:v>
      </x:c>
      <x:c r="J381" s="16" t="n">
        <x:v>149000</x:v>
      </x:c>
      <x:c r="K381" s="16" t="n">
        <x:v>43000</x:v>
      </x:c>
      <x:c r="L381" s="14" t="n">
        <x:f>SUM(I381:K381)</x:f>
        <x:v>426000</x:v>
      </x:c>
      <x:c r="M381" s="14" t="n">
        <x:f>H381-L381</x:f>
        <x:v>1010000</x:v>
      </x:c>
    </x:row>
    <x:row r="382">
      <x:c r="A382" t="str">
        <x:v>T0381</x:v>
      </x:c>
      <x:c r="B382" t="n">
        <x:v>8</x:v>
      </x:c>
      <x:c r="C382" t="str">
        <x:v>C018</x:v>
      </x:c>
      <x:c r="D382" t="str">
        <x:v>IT</x:v>
      </x:c>
      <x:c r="E382" t="str">
        <x:v>Q3</x:v>
      </x:c>
      <x:c r="F382" t="str">
        <x:v>継続契約</x:v>
      </x:c>
      <x:c r="G382" t="str">
        <x:v>導入・運用支援</x:v>
      </x:c>
      <x:c r="H382" s="16" t="n">
        <x:v>899000</x:v>
      </x:c>
      <x:c r="I382" s="16" t="n">
        <x:v>186000</x:v>
      </x:c>
      <x:c r="J382" s="16" t="n">
        <x:v>119000</x:v>
      </x:c>
      <x:c r="K382" s="16" t="n">
        <x:v>34000</x:v>
      </x:c>
      <x:c r="L382" s="14" t="n">
        <x:f>SUM(I382:K382)</x:f>
        <x:v>339000</x:v>
      </x:c>
      <x:c r="M382" s="14" t="n">
        <x:f>H382-L382</x:f>
        <x:v>560000</x:v>
      </x:c>
    </x:row>
    <x:row r="383">
      <x:c r="A383" t="str">
        <x:v>T0382</x:v>
      </x:c>
      <x:c r="B383" t="n">
        <x:v>8</x:v>
      </x:c>
      <x:c r="C383" t="str">
        <x:v>C019</x:v>
      </x:c>
      <x:c r="D383" t="str">
        <x:v>BPO</x:v>
      </x:c>
      <x:c r="E383" t="str">
        <x:v>Q3</x:v>
      </x:c>
      <x:c r="F383" t="str">
        <x:v>継続契約</x:v>
      </x:c>
      <x:c r="G383" t="str">
        <x:v>業務運用代行</x:v>
      </x:c>
      <x:c r="H383" s="16" t="n">
        <x:v>2652000</x:v>
      </x:c>
      <x:c r="I383" s="16" t="n">
        <x:v>596000</x:v>
      </x:c>
      <x:c r="J383" s="16" t="n">
        <x:v>102000</x:v>
      </x:c>
      <x:c r="K383" s="16" t="n">
        <x:v>86000</x:v>
      </x:c>
      <x:c r="L383" s="14" t="n">
        <x:f>SUM(I383:K383)</x:f>
        <x:v>784000</x:v>
      </x:c>
      <x:c r="M383" s="14" t="n">
        <x:f>H383-L383</x:f>
        <x:v>1868000</x:v>
      </x:c>
    </x:row>
    <x:row r="384">
      <x:c r="A384" t="str">
        <x:v>T0383</x:v>
      </x:c>
      <x:c r="B384" t="n">
        <x:v>8</x:v>
      </x:c>
      <x:c r="C384" t="str">
        <x:v>C020</x:v>
      </x:c>
      <x:c r="D384" t="str">
        <x:v>BPO</x:v>
      </x:c>
      <x:c r="E384" t="str">
        <x:v>Q3</x:v>
      </x:c>
      <x:c r="F384" t="str">
        <x:v>継続契約</x:v>
      </x:c>
      <x:c r="G384" t="str">
        <x:v>業務運用代行</x:v>
      </x:c>
      <x:c r="H384" s="16" t="n">
        <x:v>2745000</x:v>
      </x:c>
      <x:c r="I384" s="16" t="n">
        <x:v>717000</x:v>
      </x:c>
      <x:c r="J384" s="16" t="n">
        <x:v>123000</x:v>
      </x:c>
      <x:c r="K384" s="16" t="n">
        <x:v>104000</x:v>
      </x:c>
      <x:c r="L384" s="14" t="n">
        <x:f>SUM(I384:K384)</x:f>
        <x:v>944000</x:v>
      </x:c>
      <x:c r="M384" s="14" t="n">
        <x:f>H384-L384</x:f>
        <x:v>1801000</x:v>
      </x:c>
    </x:row>
    <x:row r="385">
      <x:c r="A385" t="str">
        <x:v>T0384</x:v>
      </x:c>
      <x:c r="B385" t="n">
        <x:v>8</x:v>
      </x:c>
      <x:c r="C385" t="str">
        <x:v>C021</x:v>
      </x:c>
      <x:c r="D385" t="str">
        <x:v>BPO</x:v>
      </x:c>
      <x:c r="E385" t="str">
        <x:v>Q3</x:v>
      </x:c>
      <x:c r="F385" t="str">
        <x:v>継続契約</x:v>
      </x:c>
      <x:c r="G385" t="str">
        <x:v>業務運用代行</x:v>
      </x:c>
      <x:c r="H385" s="16" t="n">
        <x:v>1122000</x:v>
      </x:c>
      <x:c r="I385" s="16" t="n">
        <x:v>241000</x:v>
      </x:c>
      <x:c r="J385" s="16" t="n">
        <x:v>41000</x:v>
      </x:c>
      <x:c r="K385" s="16" t="n">
        <x:v>35000</x:v>
      </x:c>
      <x:c r="L385" s="14" t="n">
        <x:f>SUM(I385:K385)</x:f>
        <x:v>317000</x:v>
      </x:c>
      <x:c r="M385" s="14" t="n">
        <x:f>H385-L385</x:f>
        <x:v>805000</x:v>
      </x:c>
    </x:row>
    <x:row r="386">
      <x:c r="A386" t="str">
        <x:v>T0385</x:v>
      </x:c>
      <x:c r="B386" t="n">
        <x:v>8</x:v>
      </x:c>
      <x:c r="C386" t="str">
        <x:v>C022</x:v>
      </x:c>
      <x:c r="D386" t="str">
        <x:v>BPO</x:v>
      </x:c>
      <x:c r="E386" t="str">
        <x:v>Q3</x:v>
      </x:c>
      <x:c r="F386" t="str">
        <x:v>継続契約</x:v>
      </x:c>
      <x:c r="G386" t="str">
        <x:v>業務運用代行</x:v>
      </x:c>
      <x:c r="H386" s="16" t="n">
        <x:v>1263000</x:v>
      </x:c>
      <x:c r="I386" s="16" t="n">
        <x:v>271000</x:v>
      </x:c>
      <x:c r="J386" s="16" t="n">
        <x:v>46000</x:v>
      </x:c>
      <x:c r="K386" s="16" t="n">
        <x:v>39000</x:v>
      </x:c>
      <x:c r="L386" s="14" t="n">
        <x:f>SUM(I386:K386)</x:f>
        <x:v>356000</x:v>
      </x:c>
      <x:c r="M386" s="14" t="n">
        <x:f>H386-L386</x:f>
        <x:v>907000</x:v>
      </x:c>
    </x:row>
    <x:row r="387">
      <x:c r="A387" t="str">
        <x:v>T0386</x:v>
      </x:c>
      <x:c r="B387" t="n">
        <x:v>8</x:v>
      </x:c>
      <x:c r="C387" t="str">
        <x:v>C023</x:v>
      </x:c>
      <x:c r="D387" t="str">
        <x:v>BPO</x:v>
      </x:c>
      <x:c r="E387" t="str">
        <x:v>Q3</x:v>
      </x:c>
      <x:c r="F387" t="str">
        <x:v>継続契約</x:v>
      </x:c>
      <x:c r="G387" t="str">
        <x:v>業務運用代行</x:v>
      </x:c>
      <x:c r="H387" s="16" t="n">
        <x:v>576000</x:v>
      </x:c>
      <x:c r="I387" s="16" t="n">
        <x:v>136000</x:v>
      </x:c>
      <x:c r="J387" s="16" t="n">
        <x:v>23000</x:v>
      </x:c>
      <x:c r="K387" s="16" t="n">
        <x:v>20000</x:v>
      </x:c>
      <x:c r="L387" s="14" t="n">
        <x:f>SUM(I387:K387)</x:f>
        <x:v>179000</x:v>
      </x:c>
      <x:c r="M387" s="14" t="n">
        <x:f>H387-L387</x:f>
        <x:v>397000</x:v>
      </x:c>
    </x:row>
    <x:row r="388">
      <x:c r="A388" t="str">
        <x:v>T0387</x:v>
      </x:c>
      <x:c r="B388" t="n">
        <x:v>8</x:v>
      </x:c>
      <x:c r="C388" t="str">
        <x:v>C023</x:v>
      </x:c>
      <x:c r="D388" t="str">
        <x:v>BPO</x:v>
      </x:c>
      <x:c r="E388" t="str">
        <x:v>Q3</x:v>
      </x:c>
      <x:c r="F388" t="str">
        <x:v>継続契約</x:v>
      </x:c>
      <x:c r="G388" t="str">
        <x:v>業務運用代行</x:v>
      </x:c>
      <x:c r="H388" s="16" t="n">
        <x:v>573000</x:v>
      </x:c>
      <x:c r="I388" s="16" t="n">
        <x:v>128000</x:v>
      </x:c>
      <x:c r="J388" s="16" t="n">
        <x:v>22000</x:v>
      </x:c>
      <x:c r="K388" s="16" t="n">
        <x:v>18000</x:v>
      </x:c>
      <x:c r="L388" s="14" t="n">
        <x:f>SUM(I388:K388)</x:f>
        <x:v>168000</x:v>
      </x:c>
      <x:c r="M388" s="14" t="n">
        <x:f>H388-L388</x:f>
        <x:v>405000</x:v>
      </x:c>
    </x:row>
    <x:row r="389">
      <x:c r="A389" t="str">
        <x:v>T0388</x:v>
      </x:c>
      <x:c r="B389" t="n">
        <x:v>8</x:v>
      </x:c>
      <x:c r="C389" t="str">
        <x:v>C024</x:v>
      </x:c>
      <x:c r="D389" t="str">
        <x:v>BPO</x:v>
      </x:c>
      <x:c r="E389" t="str">
        <x:v>Q3</x:v>
      </x:c>
      <x:c r="F389" t="str">
        <x:v>継続契約</x:v>
      </x:c>
      <x:c r="G389" t="str">
        <x:v>業務運用代行</x:v>
      </x:c>
      <x:c r="H389" s="16" t="n">
        <x:v>1644000</x:v>
      </x:c>
      <x:c r="I389" s="16" t="n">
        <x:v>343000</x:v>
      </x:c>
      <x:c r="J389" s="16" t="n">
        <x:v>59000</x:v>
      </x:c>
      <x:c r="K389" s="16" t="n">
        <x:v>49000</x:v>
      </x:c>
      <x:c r="L389" s="14" t="n">
        <x:f>SUM(I389:K389)</x:f>
        <x:v>451000</x:v>
      </x:c>
      <x:c r="M389" s="14" t="n">
        <x:f>H389-L389</x:f>
        <x:v>1193000</x:v>
      </x:c>
    </x:row>
    <x:row r="390">
      <x:c r="A390" t="str">
        <x:v>T0389</x:v>
      </x:c>
      <x:c r="B390" t="n">
        <x:v>8</x:v>
      </x:c>
      <x:c r="C390" t="str">
        <x:v>C025</x:v>
      </x:c>
      <x:c r="D390" t="str">
        <x:v>BPO</x:v>
      </x:c>
      <x:c r="E390" t="str">
        <x:v>Q3</x:v>
      </x:c>
      <x:c r="F390" t="str">
        <x:v>継続契約</x:v>
      </x:c>
      <x:c r="G390" t="str">
        <x:v>業務運用代行</x:v>
      </x:c>
      <x:c r="H390" s="16" t="n">
        <x:v>1336000</x:v>
      </x:c>
      <x:c r="I390" s="16" t="n">
        <x:v>353000</x:v>
      </x:c>
      <x:c r="J390" s="16" t="n">
        <x:v>60000</x:v>
      </x:c>
      <x:c r="K390" s="16" t="n">
        <x:v>52000</x:v>
      </x:c>
      <x:c r="L390" s="14" t="n">
        <x:f>SUM(I390:K390)</x:f>
        <x:v>465000</x:v>
      </x:c>
      <x:c r="M390" s="14" t="n">
        <x:f>H390-L390</x:f>
        <x:v>871000</x:v>
      </x:c>
    </x:row>
    <x:row r="391">
      <x:c r="A391" t="str">
        <x:v>T0390</x:v>
      </x:c>
      <x:c r="B391" t="n">
        <x:v>8</x:v>
      </x:c>
      <x:c r="C391" t="str">
        <x:v>C026</x:v>
      </x:c>
      <x:c r="D391" t="str">
        <x:v>BPO</x:v>
      </x:c>
      <x:c r="E391" t="str">
        <x:v>Q3</x:v>
      </x:c>
      <x:c r="F391" t="str">
        <x:v>継続契約</x:v>
      </x:c>
      <x:c r="G391" t="str">
        <x:v>業務運用代行</x:v>
      </x:c>
      <x:c r="H391" s="16" t="n">
        <x:v>543000</x:v>
      </x:c>
      <x:c r="I391" s="16" t="n">
        <x:v>132000</x:v>
      </x:c>
      <x:c r="J391" s="16" t="n">
        <x:v>23000</x:v>
      </x:c>
      <x:c r="K391" s="16" t="n">
        <x:v>19000</x:v>
      </x:c>
      <x:c r="L391" s="14" t="n">
        <x:f>SUM(I391:K391)</x:f>
        <x:v>174000</x:v>
      </x:c>
      <x:c r="M391" s="14" t="n">
        <x:f>H391-L391</x:f>
        <x:v>369000</x:v>
      </x:c>
    </x:row>
    <x:row r="392">
      <x:c r="A392" t="str">
        <x:v>T0391</x:v>
      </x:c>
      <x:c r="B392" t="n">
        <x:v>8</x:v>
      </x:c>
      <x:c r="C392" t="str">
        <x:v>C026</x:v>
      </x:c>
      <x:c r="D392" t="str">
        <x:v>BPO</x:v>
      </x:c>
      <x:c r="E392" t="str">
        <x:v>Q3</x:v>
      </x:c>
      <x:c r="F392" t="str">
        <x:v>継続契約</x:v>
      </x:c>
      <x:c r="G392" t="str">
        <x:v>業務運用代行</x:v>
      </x:c>
      <x:c r="H392" s="16" t="n">
        <x:v>875000</x:v>
      </x:c>
      <x:c r="I392" s="16" t="n">
        <x:v>188000</x:v>
      </x:c>
      <x:c r="J392" s="16" t="n">
        <x:v>32000</x:v>
      </x:c>
      <x:c r="K392" s="16" t="n">
        <x:v>28000</x:v>
      </x:c>
      <x:c r="L392" s="14" t="n">
        <x:f>SUM(I392:K392)</x:f>
        <x:v>248000</x:v>
      </x:c>
      <x:c r="M392" s="14" t="n">
        <x:f>H392-L392</x:f>
        <x:v>627000</x:v>
      </x:c>
    </x:row>
    <x:row r="393">
      <x:c r="A393" t="str">
        <x:v>T0392</x:v>
      </x:c>
      <x:c r="B393" t="n">
        <x:v>8</x:v>
      </x:c>
      <x:c r="C393" t="str">
        <x:v>C027</x:v>
      </x:c>
      <x:c r="D393" t="str">
        <x:v>BPO</x:v>
      </x:c>
      <x:c r="E393" t="str">
        <x:v>Q3</x:v>
      </x:c>
      <x:c r="F393" t="str">
        <x:v>継続契約</x:v>
      </x:c>
      <x:c r="G393" t="str">
        <x:v>業務運用代行</x:v>
      </x:c>
      <x:c r="H393" s="16" t="n">
        <x:v>475000</x:v>
      </x:c>
      <x:c r="I393" s="16" t="n">
        <x:v>106000</x:v>
      </x:c>
      <x:c r="J393" s="16" t="n">
        <x:v>18000</x:v>
      </x:c>
      <x:c r="K393" s="16" t="n">
        <x:v>16000</x:v>
      </x:c>
      <x:c r="L393" s="14" t="n">
        <x:f>SUM(I393:K393)</x:f>
        <x:v>140000</x:v>
      </x:c>
      <x:c r="M393" s="14" t="n">
        <x:f>H393-L393</x:f>
        <x:v>335000</x:v>
      </x:c>
    </x:row>
    <x:row r="394">
      <x:c r="A394" t="str">
        <x:v>T0393</x:v>
      </x:c>
      <x:c r="B394" t="n">
        <x:v>8</x:v>
      </x:c>
      <x:c r="C394" t="str">
        <x:v>C027</x:v>
      </x:c>
      <x:c r="D394" t="str">
        <x:v>BPO</x:v>
      </x:c>
      <x:c r="E394" t="str">
        <x:v>Q3</x:v>
      </x:c>
      <x:c r="F394" t="str">
        <x:v>継続契約</x:v>
      </x:c>
      <x:c r="G394" t="str">
        <x:v>業務運用代行</x:v>
      </x:c>
      <x:c r="H394" s="16" t="n">
        <x:v>607000</x:v>
      </x:c>
      <x:c r="I394" s="16" t="n">
        <x:v>135000</x:v>
      </x:c>
      <x:c r="J394" s="16" t="n">
        <x:v>23000</x:v>
      </x:c>
      <x:c r="K394" s="16" t="n">
        <x:v>20000</x:v>
      </x:c>
      <x:c r="L394" s="14" t="n">
        <x:f>SUM(I394:K394)</x:f>
        <x:v>178000</x:v>
      </x:c>
      <x:c r="M394" s="14" t="n">
        <x:f>H394-L394</x:f>
        <x:v>429000</x:v>
      </x:c>
    </x:row>
    <x:row r="395">
      <x:c r="A395" t="str">
        <x:v>T0394</x:v>
      </x:c>
      <x:c r="B395" t="n">
        <x:v>8</x:v>
      </x:c>
      <x:c r="C395" t="str">
        <x:v>C028</x:v>
      </x:c>
      <x:c r="D395" t="str">
        <x:v>BPO</x:v>
      </x:c>
      <x:c r="E395" t="str">
        <x:v>Q3</x:v>
      </x:c>
      <x:c r="F395" t="str">
        <x:v>継続契約</x:v>
      </x:c>
      <x:c r="G395" t="str">
        <x:v>業務運用代行</x:v>
      </x:c>
      <x:c r="H395" s="16" t="n">
        <x:v>1105000</x:v>
      </x:c>
      <x:c r="I395" s="16" t="n">
        <x:v>252000</x:v>
      </x:c>
      <x:c r="J395" s="16" t="n">
        <x:v>43000</x:v>
      </x:c>
      <x:c r="K395" s="16" t="n">
        <x:v>36000</x:v>
      </x:c>
      <x:c r="L395" s="14" t="n">
        <x:f>SUM(I395:K395)</x:f>
        <x:v>331000</x:v>
      </x:c>
      <x:c r="M395" s="14" t="n">
        <x:f>H395-L395</x:f>
        <x:v>774000</x:v>
      </x:c>
    </x:row>
    <x:row r="396">
      <x:c r="A396" t="str">
        <x:v>T0395</x:v>
      </x:c>
      <x:c r="B396" t="n">
        <x:v>8</x:v>
      </x:c>
      <x:c r="C396" t="str">
        <x:v>C029</x:v>
      </x:c>
      <x:c r="D396" t="str">
        <x:v>BPO</x:v>
      </x:c>
      <x:c r="E396" t="str">
        <x:v>Q3</x:v>
      </x:c>
      <x:c r="F396" t="str">
        <x:v>継続契約</x:v>
      </x:c>
      <x:c r="G396" t="str">
        <x:v>業務運用代行</x:v>
      </x:c>
      <x:c r="H396" s="16" t="n">
        <x:v>1642000</x:v>
      </x:c>
      <x:c r="I396" s="16" t="n">
        <x:v>371000</x:v>
      </x:c>
      <x:c r="J396" s="16" t="n">
        <x:v>63000</x:v>
      </x:c>
      <x:c r="K396" s="16" t="n">
        <x:v>54000</x:v>
      </x:c>
      <x:c r="L396" s="14" t="n">
        <x:f>SUM(I396:K396)</x:f>
        <x:v>488000</x:v>
      </x:c>
      <x:c r="M396" s="14" t="n">
        <x:f>H396-L396</x:f>
        <x:v>1154000</x:v>
      </x:c>
    </x:row>
    <x:row r="397">
      <x:c r="A397" t="str">
        <x:v>T0396</x:v>
      </x:c>
      <x:c r="B397" t="n">
        <x:v>8</x:v>
      </x:c>
      <x:c r="C397" t="str">
        <x:v>C030</x:v>
      </x:c>
      <x:c r="D397" t="str">
        <x:v>BPO</x:v>
      </x:c>
      <x:c r="E397" t="str">
        <x:v>Q3</x:v>
      </x:c>
      <x:c r="F397" t="str">
        <x:v>継続契約</x:v>
      </x:c>
      <x:c r="G397" t="str">
        <x:v>業務運用代行</x:v>
      </x:c>
      <x:c r="H397" s="16" t="n">
        <x:v>1240000</x:v>
      </x:c>
      <x:c r="I397" s="16" t="n">
        <x:v>330000</x:v>
      </x:c>
      <x:c r="J397" s="16" t="n">
        <x:v>56000</x:v>
      </x:c>
      <x:c r="K397" s="16" t="n">
        <x:v>48000</x:v>
      </x:c>
      <x:c r="L397" s="14" t="n">
        <x:f>SUM(I397:K397)</x:f>
        <x:v>434000</x:v>
      </x:c>
      <x:c r="M397" s="14" t="n">
        <x:f>H397-L397</x:f>
        <x:v>806000</x:v>
      </x:c>
    </x:row>
    <x:row r="398">
      <x:c r="A398" t="str">
        <x:v>T0397</x:v>
      </x:c>
      <x:c r="B398" t="n">
        <x:v>8</x:v>
      </x:c>
      <x:c r="C398" t="str">
        <x:v>C031</x:v>
      </x:c>
      <x:c r="D398" t="str">
        <x:v>BPO</x:v>
      </x:c>
      <x:c r="E398" t="str">
        <x:v>Q3</x:v>
      </x:c>
      <x:c r="F398" t="str">
        <x:v>継続契約</x:v>
      </x:c>
      <x:c r="G398" t="str">
        <x:v>業務運用代行</x:v>
      </x:c>
      <x:c r="H398" s="16" t="n">
        <x:v>1114000</x:v>
      </x:c>
      <x:c r="I398" s="16" t="n">
        <x:v>232000</x:v>
      </x:c>
      <x:c r="J398" s="16" t="n">
        <x:v>40000</x:v>
      </x:c>
      <x:c r="K398" s="16" t="n">
        <x:v>33000</x:v>
      </x:c>
      <x:c r="L398" s="14" t="n">
        <x:f>SUM(I398:K398)</x:f>
        <x:v>305000</x:v>
      </x:c>
      <x:c r="M398" s="14" t="n">
        <x:f>H398-L398</x:f>
        <x:v>809000</x:v>
      </x:c>
    </x:row>
    <x:row r="399">
      <x:c r="A399" t="str">
        <x:v>T0398</x:v>
      </x:c>
      <x:c r="B399" t="n">
        <x:v>8</x:v>
      </x:c>
      <x:c r="C399" t="str">
        <x:v>C032</x:v>
      </x:c>
      <x:c r="D399" t="str">
        <x:v>BPO</x:v>
      </x:c>
      <x:c r="E399" t="str">
        <x:v>Q3</x:v>
      </x:c>
      <x:c r="F399" t="str">
        <x:v>継続契約</x:v>
      </x:c>
      <x:c r="G399" t="str">
        <x:v>業務運用代行</x:v>
      </x:c>
      <x:c r="H399" s="16" t="n">
        <x:v>389000</x:v>
      </x:c>
      <x:c r="I399" s="16" t="n">
        <x:v>83000</x:v>
      </x:c>
      <x:c r="J399" s="16" t="n">
        <x:v>14000</x:v>
      </x:c>
      <x:c r="K399" s="16" t="n">
        <x:v>12000</x:v>
      </x:c>
      <x:c r="L399" s="14" t="n">
        <x:f>SUM(I399:K399)</x:f>
        <x:v>109000</x:v>
      </x:c>
      <x:c r="M399" s="14" t="n">
        <x:f>H399-L399</x:f>
        <x:v>280000</x:v>
      </x:c>
    </x:row>
    <x:row r="400">
      <x:c r="A400" t="str">
        <x:v>T0399</x:v>
      </x:c>
      <x:c r="B400" t="n">
        <x:v>8</x:v>
      </x:c>
      <x:c r="C400" t="str">
        <x:v>C032</x:v>
      </x:c>
      <x:c r="D400" t="str">
        <x:v>BPO</x:v>
      </x:c>
      <x:c r="E400" t="str">
        <x:v>Q3</x:v>
      </x:c>
      <x:c r="F400" t="str">
        <x:v>継続契約</x:v>
      </x:c>
      <x:c r="G400" t="str">
        <x:v>業務運用代行</x:v>
      </x:c>
      <x:c r="H400" s="16" t="n">
        <x:v>384000</x:v>
      </x:c>
      <x:c r="I400" s="16" t="n">
        <x:v>84000</x:v>
      </x:c>
      <x:c r="J400" s="16" t="n">
        <x:v>14000</x:v>
      </x:c>
      <x:c r="K400" s="16" t="n">
        <x:v>12000</x:v>
      </x:c>
      <x:c r="L400" s="14" t="n">
        <x:f>SUM(I400:K400)</x:f>
        <x:v>110000</x:v>
      </x:c>
      <x:c r="M400" s="14" t="n">
        <x:f>H400-L400</x:f>
        <x:v>274000</x:v>
      </x:c>
    </x:row>
    <x:row r="401">
      <x:c r="A401" t="str">
        <x:v>T0400</x:v>
      </x:c>
      <x:c r="B401" t="n">
        <x:v>8</x:v>
      </x:c>
      <x:c r="C401" t="str">
        <x:v>C033</x:v>
      </x:c>
      <x:c r="D401" t="str">
        <x:v>BPO</x:v>
      </x:c>
      <x:c r="E401" t="str">
        <x:v>Q3</x:v>
      </x:c>
      <x:c r="F401" t="str">
        <x:v>継続契約</x:v>
      </x:c>
      <x:c r="G401" t="str">
        <x:v>業務運用代行</x:v>
      </x:c>
      <x:c r="H401" s="16" t="n">
        <x:v>1215000</x:v>
      </x:c>
      <x:c r="I401" s="16" t="n">
        <x:v>255000</x:v>
      </x:c>
      <x:c r="J401" s="16" t="n">
        <x:v>44000</x:v>
      </x:c>
      <x:c r="K401" s="16" t="n">
        <x:v>37000</x:v>
      </x:c>
      <x:c r="L401" s="14" t="n">
        <x:f>SUM(I401:K401)</x:f>
        <x:v>336000</x:v>
      </x:c>
      <x:c r="M401" s="14" t="n">
        <x:f>H401-L401</x:f>
        <x:v>879000</x:v>
      </x:c>
    </x:row>
    <x:row r="402">
      <x:c r="A402" t="str">
        <x:v>T0401</x:v>
      </x:c>
      <x:c r="B402" t="n">
        <x:v>8</x:v>
      </x:c>
      <x:c r="C402" t="str">
        <x:v>C034</x:v>
      </x:c>
      <x:c r="D402" t="str">
        <x:v>TRN</x:v>
      </x:c>
      <x:c r="E402" t="str">
        <x:v>Q3</x:v>
      </x:c>
      <x:c r="F402" t="str">
        <x:v>継続契約</x:v>
      </x:c>
      <x:c r="G402" t="str">
        <x:v>研修プログラム</x:v>
      </x:c>
      <x:c r="H402" s="16" t="n">
        <x:v>483000</x:v>
      </x:c>
      <x:c r="I402" s="16" t="n">
        <x:v>27000</x:v>
      </x:c>
      <x:c r="J402" s="16" t="n">
        <x:v>14000</x:v>
      </x:c>
      <x:c r="K402" s="16" t="n">
        <x:v>34000</x:v>
      </x:c>
      <x:c r="L402" s="14" t="n">
        <x:f>SUM(I402:K402)</x:f>
        <x:v>75000</x:v>
      </x:c>
      <x:c r="M402" s="14" t="n">
        <x:f>H402-L402</x:f>
        <x:v>408000</x:v>
      </x:c>
    </x:row>
    <x:row r="403">
      <x:c r="A403" t="str">
        <x:v>T0402</x:v>
      </x:c>
      <x:c r="B403" t="n">
        <x:v>8</x:v>
      </x:c>
      <x:c r="C403" t="str">
        <x:v>C034</x:v>
      </x:c>
      <x:c r="D403" t="str">
        <x:v>TRN</x:v>
      </x:c>
      <x:c r="E403" t="str">
        <x:v>Q3</x:v>
      </x:c>
      <x:c r="F403" t="str">
        <x:v>継続契約</x:v>
      </x:c>
      <x:c r="G403" t="str">
        <x:v>研修プログラム</x:v>
      </x:c>
      <x:c r="H403" s="16" t="n">
        <x:v>571000</x:v>
      </x:c>
      <x:c r="I403" s="16" t="n">
        <x:v>32000</x:v>
      </x:c>
      <x:c r="J403" s="16" t="n">
        <x:v>16000</x:v>
      </x:c>
      <x:c r="K403" s="16" t="n">
        <x:v>40000</x:v>
      </x:c>
      <x:c r="L403" s="14" t="n">
        <x:f>SUM(I403:K403)</x:f>
        <x:v>88000</x:v>
      </x:c>
      <x:c r="M403" s="14" t="n">
        <x:f>H403-L403</x:f>
        <x:v>483000</x:v>
      </x:c>
    </x:row>
    <x:row r="404">
      <x:c r="A404" t="str">
        <x:v>T0403</x:v>
      </x:c>
      <x:c r="B404" t="n">
        <x:v>8</x:v>
      </x:c>
      <x:c r="C404" t="str">
        <x:v>C036</x:v>
      </x:c>
      <x:c r="D404" t="str">
        <x:v>TRN</x:v>
      </x:c>
      <x:c r="E404" t="str">
        <x:v>Q3</x:v>
      </x:c>
      <x:c r="F404" t="str">
        <x:v>継続契約</x:v>
      </x:c>
      <x:c r="G404" t="str">
        <x:v>研修プログラム</x:v>
      </x:c>
      <x:c r="H404" s="16" t="n">
        <x:v>348000</x:v>
      </x:c>
      <x:c r="I404" s="16" t="n">
        <x:v>17000</x:v>
      </x:c>
      <x:c r="J404" s="16" t="n">
        <x:v>8000</x:v>
      </x:c>
      <x:c r="K404" s="16" t="n">
        <x:v>22000</x:v>
      </x:c>
      <x:c r="L404" s="14" t="n">
        <x:f>SUM(I404:K404)</x:f>
        <x:v>47000</x:v>
      </x:c>
      <x:c r="M404" s="14" t="n">
        <x:f>H404-L404</x:f>
        <x:v>301000</x:v>
      </x:c>
    </x:row>
    <x:row r="405">
      <x:c r="A405" t="str">
        <x:v>T0404</x:v>
      </x:c>
      <x:c r="B405" t="n">
        <x:v>8</x:v>
      </x:c>
      <x:c r="C405" t="str">
        <x:v>C036</x:v>
      </x:c>
      <x:c r="D405" t="str">
        <x:v>TRN</x:v>
      </x:c>
      <x:c r="E405" t="str">
        <x:v>Q3</x:v>
      </x:c>
      <x:c r="F405" t="str">
        <x:v>継続契約</x:v>
      </x:c>
      <x:c r="G405" t="str">
        <x:v>研修プログラム</x:v>
      </x:c>
      <x:c r="H405" s="16" t="n">
        <x:v>450000</x:v>
      </x:c>
      <x:c r="I405" s="16" t="n">
        <x:v>35000</x:v>
      </x:c>
      <x:c r="J405" s="16" t="n">
        <x:v>18000</x:v>
      </x:c>
      <x:c r="K405" s="16" t="n">
        <x:v>45000</x:v>
      </x:c>
      <x:c r="L405" s="14" t="n">
        <x:f>SUM(I405:K405)</x:f>
        <x:v>98000</x:v>
      </x:c>
      <x:c r="M405" s="14" t="n">
        <x:f>H405-L405</x:f>
        <x:v>352000</x:v>
      </x:c>
    </x:row>
    <x:row r="406">
      <x:c r="A406" t="str">
        <x:v>T0405</x:v>
      </x:c>
      <x:c r="B406" t="n">
        <x:v>8</x:v>
      </x:c>
      <x:c r="C406" t="str">
        <x:v>C037</x:v>
      </x:c>
      <x:c r="D406" t="str">
        <x:v>TRN</x:v>
      </x:c>
      <x:c r="E406" t="str">
        <x:v>Q3</x:v>
      </x:c>
      <x:c r="F406" t="str">
        <x:v>継続契約</x:v>
      </x:c>
      <x:c r="G406" t="str">
        <x:v>研修プログラム</x:v>
      </x:c>
      <x:c r="H406" s="16" t="n">
        <x:v>566000</x:v>
      </x:c>
      <x:c r="I406" s="16" t="n">
        <x:v>43000</x:v>
      </x:c>
      <x:c r="J406" s="16" t="n">
        <x:v>21000</x:v>
      </x:c>
      <x:c r="K406" s="16" t="n">
        <x:v>55000</x:v>
      </x:c>
      <x:c r="L406" s="14" t="n">
        <x:f>SUM(I406:K406)</x:f>
        <x:v>119000</x:v>
      </x:c>
      <x:c r="M406" s="14" t="n">
        <x:f>H406-L406</x:f>
        <x:v>447000</x:v>
      </x:c>
    </x:row>
    <x:row r="407">
      <x:c r="A407" t="str">
        <x:v>T0406</x:v>
      </x:c>
      <x:c r="B407" t="n">
        <x:v>8</x:v>
      </x:c>
      <x:c r="C407" t="str">
        <x:v>C038</x:v>
      </x:c>
      <x:c r="D407" t="str">
        <x:v>TRN</x:v>
      </x:c>
      <x:c r="E407" t="str">
        <x:v>Q3</x:v>
      </x:c>
      <x:c r="F407" t="str">
        <x:v>継続契約</x:v>
      </x:c>
      <x:c r="G407" t="str">
        <x:v>研修プログラム</x:v>
      </x:c>
      <x:c r="H407" s="16" t="n">
        <x:v>390000</x:v>
      </x:c>
      <x:c r="I407" s="16" t="n">
        <x:v>14000</x:v>
      </x:c>
      <x:c r="J407" s="16" t="n">
        <x:v>7000</x:v>
      </x:c>
      <x:c r="K407" s="16" t="n">
        <x:v>18000</x:v>
      </x:c>
      <x:c r="L407" s="14" t="n">
        <x:f>SUM(I407:K407)</x:f>
        <x:v>39000</x:v>
      </x:c>
      <x:c r="M407" s="14" t="n">
        <x:f>H407-L407</x:f>
        <x:v>351000</x:v>
      </x:c>
    </x:row>
    <x:row r="408">
      <x:c r="A408" t="str">
        <x:v>T0407</x:v>
      </x:c>
      <x:c r="B408" t="n">
        <x:v>8</x:v>
      </x:c>
      <x:c r="C408" t="str">
        <x:v>C039</x:v>
      </x:c>
      <x:c r="D408" t="str">
        <x:v>TRN</x:v>
      </x:c>
      <x:c r="E408" t="str">
        <x:v>Q3</x:v>
      </x:c>
      <x:c r="F408" t="str">
        <x:v>継続契約</x:v>
      </x:c>
      <x:c r="G408" t="str">
        <x:v>研修プログラム</x:v>
      </x:c>
      <x:c r="H408" s="16" t="n">
        <x:v>475000</x:v>
      </x:c>
      <x:c r="I408" s="16" t="n">
        <x:v>39000</x:v>
      </x:c>
      <x:c r="J408" s="16" t="n">
        <x:v>19000</x:v>
      </x:c>
      <x:c r="K408" s="16" t="n">
        <x:v>50000</x:v>
      </x:c>
      <x:c r="L408" s="14" t="n">
        <x:f>SUM(I408:K408)</x:f>
        <x:v>108000</x:v>
      </x:c>
      <x:c r="M408" s="14" t="n">
        <x:f>H408-L408</x:f>
        <x:v>367000</x:v>
      </x:c>
    </x:row>
    <x:row r="409">
      <x:c r="A409" t="str">
        <x:v>T0408</x:v>
      </x:c>
      <x:c r="B409" t="n">
        <x:v>8</x:v>
      </x:c>
      <x:c r="C409" t="str">
        <x:v>C041</x:v>
      </x:c>
      <x:c r="D409" t="str">
        <x:v>TRN</x:v>
      </x:c>
      <x:c r="E409" t="str">
        <x:v>Q3</x:v>
      </x:c>
      <x:c r="F409" t="str">
        <x:v>継続契約</x:v>
      </x:c>
      <x:c r="G409" t="str">
        <x:v>研修プログラム</x:v>
      </x:c>
      <x:c r="H409" s="16" t="n">
        <x:v>332000</x:v>
      </x:c>
      <x:c r="I409" s="16" t="n">
        <x:v>19000</x:v>
      </x:c>
      <x:c r="J409" s="16" t="n">
        <x:v>10000</x:v>
      </x:c>
      <x:c r="K409" s="16" t="n">
        <x:v>25000</x:v>
      </x:c>
      <x:c r="L409" s="14" t="n">
        <x:f>SUM(I409:K409)</x:f>
        <x:v>54000</x:v>
      </x:c>
      <x:c r="M409" s="14" t="n">
        <x:f>H409-L409</x:f>
        <x:v>278000</x:v>
      </x:c>
    </x:row>
    <x:row r="410">
      <x:c r="A410" t="str">
        <x:v>T0409</x:v>
      </x:c>
      <x:c r="B410" t="n">
        <x:v>8</x:v>
      </x:c>
      <x:c r="C410" t="str">
        <x:v>C041</x:v>
      </x:c>
      <x:c r="D410" t="str">
        <x:v>TRN</x:v>
      </x:c>
      <x:c r="E410" t="str">
        <x:v>Q3</x:v>
      </x:c>
      <x:c r="F410" t="str">
        <x:v>継続契約</x:v>
      </x:c>
      <x:c r="G410" t="str">
        <x:v>研修プログラム</x:v>
      </x:c>
      <x:c r="H410" s="16" t="n">
        <x:v>318000</x:v>
      </x:c>
      <x:c r="I410" s="16" t="n">
        <x:v>25000</x:v>
      </x:c>
      <x:c r="J410" s="16" t="n">
        <x:v>12000</x:v>
      </x:c>
      <x:c r="K410" s="16" t="n">
        <x:v>32000</x:v>
      </x:c>
      <x:c r="L410" s="14" t="n">
        <x:f>SUM(I410:K410)</x:f>
        <x:v>69000</x:v>
      </x:c>
      <x:c r="M410" s="14" t="n">
        <x:f>H410-L410</x:f>
        <x:v>249000</x:v>
      </x:c>
    </x:row>
    <x:row r="411">
      <x:c r="A411" t="str">
        <x:v>T0410</x:v>
      </x:c>
      <x:c r="B411" t="n">
        <x:v>8</x:v>
      </x:c>
      <x:c r="C411" t="str">
        <x:v>C042</x:v>
      </x:c>
      <x:c r="D411" t="str">
        <x:v>TRN</x:v>
      </x:c>
      <x:c r="E411" t="str">
        <x:v>Q3</x:v>
      </x:c>
      <x:c r="F411" t="str">
        <x:v>継続契約</x:v>
      </x:c>
      <x:c r="G411" t="str">
        <x:v>研修プログラム</x:v>
      </x:c>
      <x:c r="H411" s="16" t="n">
        <x:v>429000</x:v>
      </x:c>
      <x:c r="I411" s="16" t="n">
        <x:v>18000</x:v>
      </x:c>
      <x:c r="J411" s="16" t="n">
        <x:v>9000</x:v>
      </x:c>
      <x:c r="K411" s="16" t="n">
        <x:v>24000</x:v>
      </x:c>
      <x:c r="L411" s="14" t="n">
        <x:f>SUM(I411:K411)</x:f>
        <x:v>51000</x:v>
      </x:c>
      <x:c r="M411" s="14" t="n">
        <x:f>H411-L411</x:f>
        <x:v>378000</x:v>
      </x:c>
    </x:row>
    <x:row r="412">
      <x:c r="A412" t="str">
        <x:v>T0411</x:v>
      </x:c>
      <x:c r="B412" t="n">
        <x:v>8</x:v>
      </x:c>
      <x:c r="C412" t="str">
        <x:v>C044</x:v>
      </x:c>
      <x:c r="D412" t="str">
        <x:v>TRN</x:v>
      </x:c>
      <x:c r="E412" t="str">
        <x:v>Q3</x:v>
      </x:c>
      <x:c r="F412" t="str">
        <x:v>継続契約</x:v>
      </x:c>
      <x:c r="G412" t="str">
        <x:v>研修プログラム</x:v>
      </x:c>
      <x:c r="H412" s="16" t="n">
        <x:v>745000</x:v>
      </x:c>
      <x:c r="I412" s="16" t="n">
        <x:v>52000</x:v>
      </x:c>
      <x:c r="J412" s="16" t="n">
        <x:v>26000</x:v>
      </x:c>
      <x:c r="K412" s="16" t="n">
        <x:v>66000</x:v>
      </x:c>
      <x:c r="L412" s="14" t="n">
        <x:f>SUM(I412:K412)</x:f>
        <x:v>144000</x:v>
      </x:c>
      <x:c r="M412" s="14" t="n">
        <x:f>H412-L412</x:f>
        <x:v>601000</x:v>
      </x:c>
    </x:row>
    <x:row r="413">
      <x:c r="A413" t="str">
        <x:v>T0412</x:v>
      </x:c>
      <x:c r="B413" t="n">
        <x:v>9</x:v>
      </x:c>
      <x:c r="C413" t="str">
        <x:v>C001</x:v>
      </x:c>
      <x:c r="D413" t="str">
        <x:v>IT</x:v>
      </x:c>
      <x:c r="E413" t="str">
        <x:v>Q3</x:v>
      </x:c>
      <x:c r="F413" t="str">
        <x:v>継続契約</x:v>
      </x:c>
      <x:c r="G413" t="str">
        <x:v>導入・運用支援</x:v>
      </x:c>
      <x:c r="H413" s="16" t="n">
        <x:v>2304000</x:v>
      </x:c>
      <x:c r="I413" s="16" t="n">
        <x:v>444000</x:v>
      </x:c>
      <x:c r="J413" s="16" t="n">
        <x:v>282000</x:v>
      </x:c>
      <x:c r="K413" s="16" t="n">
        <x:v>81000</x:v>
      </x:c>
      <x:c r="L413" s="14" t="n">
        <x:f>SUM(I413:K413)</x:f>
        <x:v>807000</x:v>
      </x:c>
      <x:c r="M413" s="14" t="n">
        <x:f>H413-L413</x:f>
        <x:v>1497000</x:v>
      </x:c>
    </x:row>
    <x:row r="414">
      <x:c r="A414" t="str">
        <x:v>T0413</x:v>
      </x:c>
      <x:c r="B414" t="n">
        <x:v>9</x:v>
      </x:c>
      <x:c r="C414" t="str">
        <x:v>C001</x:v>
      </x:c>
      <x:c r="D414" t="str">
        <x:v>IT</x:v>
      </x:c>
      <x:c r="E414" t="str">
        <x:v>Q3</x:v>
      </x:c>
      <x:c r="F414" t="str">
        <x:v>継続契約</x:v>
      </x:c>
      <x:c r="G414" t="str">
        <x:v>導入・運用支援</x:v>
      </x:c>
      <x:c r="H414" s="16" t="n">
        <x:v>2342000</x:v>
      </x:c>
      <x:c r="I414" s="16" t="n">
        <x:v>494000</x:v>
      </x:c>
      <x:c r="J414" s="16" t="n">
        <x:v>315000</x:v>
      </x:c>
      <x:c r="K414" s="16" t="n">
        <x:v>90000</x:v>
      </x:c>
      <x:c r="L414" s="14" t="n">
        <x:f>SUM(I414:K414)</x:f>
        <x:v>899000</x:v>
      </x:c>
      <x:c r="M414" s="14" t="n">
        <x:f>H414-L414</x:f>
        <x:v>1443000</x:v>
      </x:c>
    </x:row>
    <x:row r="415">
      <x:c r="A415" t="str">
        <x:v>T0414</x:v>
      </x:c>
      <x:c r="B415" t="n">
        <x:v>9</x:v>
      </x:c>
      <x:c r="C415" t="str">
        <x:v>C002</x:v>
      </x:c>
      <x:c r="D415" t="str">
        <x:v>IT</x:v>
      </x:c>
      <x:c r="E415" t="str">
        <x:v>Q3</x:v>
      </x:c>
      <x:c r="F415" t="str">
        <x:v>継続契約</x:v>
      </x:c>
      <x:c r="G415" t="str">
        <x:v>導入・運用支援</x:v>
      </x:c>
      <x:c r="H415" s="16" t="n">
        <x:v>1355000</x:v>
      </x:c>
      <x:c r="I415" s="16" t="n">
        <x:v>276000</x:v>
      </x:c>
      <x:c r="J415" s="16" t="n">
        <x:v>175000</x:v>
      </x:c>
      <x:c r="K415" s="16" t="n">
        <x:v>50000</x:v>
      </x:c>
      <x:c r="L415" s="14" t="n">
        <x:f>SUM(I415:K415)</x:f>
        <x:v>501000</x:v>
      </x:c>
      <x:c r="M415" s="14" t="n">
        <x:f>H415-L415</x:f>
        <x:v>854000</x:v>
      </x:c>
    </x:row>
    <x:row r="416">
      <x:c r="A416" t="str">
        <x:v>T0415</x:v>
      </x:c>
      <x:c r="B416" t="n">
        <x:v>9</x:v>
      </x:c>
      <x:c r="C416" t="str">
        <x:v>C002</x:v>
      </x:c>
      <x:c r="D416" t="str">
        <x:v>IT</x:v>
      </x:c>
      <x:c r="E416" t="str">
        <x:v>Q3</x:v>
      </x:c>
      <x:c r="F416" t="str">
        <x:v>継続契約</x:v>
      </x:c>
      <x:c r="G416" t="str">
        <x:v>導入・運用支援</x:v>
      </x:c>
      <x:c r="H416" s="16" t="n">
        <x:v>1329000</x:v>
      </x:c>
      <x:c r="I416" s="16" t="n">
        <x:v>274000</x:v>
      </x:c>
      <x:c r="J416" s="16" t="n">
        <x:v>175000</x:v>
      </x:c>
      <x:c r="K416" s="16" t="n">
        <x:v>50000</x:v>
      </x:c>
      <x:c r="L416" s="14" t="n">
        <x:f>SUM(I416:K416)</x:f>
        <x:v>499000</x:v>
      </x:c>
      <x:c r="M416" s="14" t="n">
        <x:f>H416-L416</x:f>
        <x:v>830000</x:v>
      </x:c>
    </x:row>
    <x:row r="417">
      <x:c r="A417" t="str">
        <x:v>T0416</x:v>
      </x:c>
      <x:c r="B417" t="n">
        <x:v>9</x:v>
      </x:c>
      <x:c r="C417" t="str">
        <x:v>C003</x:v>
      </x:c>
      <x:c r="D417" t="str">
        <x:v>IT</x:v>
      </x:c>
      <x:c r="E417" t="str">
        <x:v>Q3</x:v>
      </x:c>
      <x:c r="F417" t="str">
        <x:v>継続契約</x:v>
      </x:c>
      <x:c r="G417" t="str">
        <x:v>導入・運用支援</x:v>
      </x:c>
      <x:c r="H417" s="16" t="n">
        <x:v>3143000</x:v>
      </x:c>
      <x:c r="I417" s="16" t="n">
        <x:v>655000</x:v>
      </x:c>
      <x:c r="J417" s="16" t="n">
        <x:v>417000</x:v>
      </x:c>
      <x:c r="K417" s="16" t="n">
        <x:v>119000</x:v>
      </x:c>
      <x:c r="L417" s="14" t="n">
        <x:f>SUM(I417:K417)</x:f>
        <x:v>1191000</x:v>
      </x:c>
      <x:c r="M417" s="14" t="n">
        <x:f>H417-L417</x:f>
        <x:v>1952000</x:v>
      </x:c>
    </x:row>
    <x:row r="418">
      <x:c r="A418" t="str">
        <x:v>T0417</x:v>
      </x:c>
      <x:c r="B418" t="n">
        <x:v>9</x:v>
      </x:c>
      <x:c r="C418" t="str">
        <x:v>C005</x:v>
      </x:c>
      <x:c r="D418" t="str">
        <x:v>IT</x:v>
      </x:c>
      <x:c r="E418" t="str">
        <x:v>Q3</x:v>
      </x:c>
      <x:c r="F418" t="str">
        <x:v>スポット中心</x:v>
      </x:c>
      <x:c r="G418" t="str">
        <x:v>導入・運用支援</x:v>
      </x:c>
      <x:c r="H418" s="16" t="n">
        <x:v>1612000</x:v>
      </x:c>
      <x:c r="I418" s="16" t="n">
        <x:v>360000</x:v>
      </x:c>
      <x:c r="J418" s="16" t="n">
        <x:v>229000</x:v>
      </x:c>
      <x:c r="K418" s="16" t="n">
        <x:v>66000</x:v>
      </x:c>
      <x:c r="L418" s="14" t="n">
        <x:f>SUM(I418:K418)</x:f>
        <x:v>655000</x:v>
      </x:c>
      <x:c r="M418" s="14" t="n">
        <x:f>H418-L418</x:f>
        <x:v>957000</x:v>
      </x:c>
    </x:row>
    <x:row r="419">
      <x:c r="A419" t="str">
        <x:v>T0418</x:v>
      </x:c>
      <x:c r="B419" t="n">
        <x:v>9</x:v>
      </x:c>
      <x:c r="C419" t="str">
        <x:v>C007</x:v>
      </x:c>
      <x:c r="D419" t="str">
        <x:v>IT</x:v>
      </x:c>
      <x:c r="E419" t="str">
        <x:v>Q3</x:v>
      </x:c>
      <x:c r="F419" t="str">
        <x:v>継続契約</x:v>
      </x:c>
      <x:c r="G419" t="str">
        <x:v>導入・運用支援</x:v>
      </x:c>
      <x:c r="H419" s="16" t="n">
        <x:v>497000</x:v>
      </x:c>
      <x:c r="I419" s="16" t="n">
        <x:v>91000</x:v>
      </x:c>
      <x:c r="J419" s="16" t="n">
        <x:v>58000</x:v>
      </x:c>
      <x:c r="K419" s="16" t="n">
        <x:v>16000</x:v>
      </x:c>
      <x:c r="L419" s="14" t="n">
        <x:f>SUM(I419:K419)</x:f>
        <x:v>165000</x:v>
      </x:c>
      <x:c r="M419" s="14" t="n">
        <x:f>H419-L419</x:f>
        <x:v>332000</x:v>
      </x:c>
    </x:row>
    <x:row r="420">
      <x:c r="A420" t="str">
        <x:v>T0419</x:v>
      </x:c>
      <x:c r="B420" t="n">
        <x:v>9</x:v>
      </x:c>
      <x:c r="C420" t="str">
        <x:v>C007</x:v>
      </x:c>
      <x:c r="D420" t="str">
        <x:v>IT</x:v>
      </x:c>
      <x:c r="E420" t="str">
        <x:v>Q3</x:v>
      </x:c>
      <x:c r="F420" t="str">
        <x:v>継続契約</x:v>
      </x:c>
      <x:c r="G420" t="str">
        <x:v>導入・運用支援</x:v>
      </x:c>
      <x:c r="H420" s="16" t="n">
        <x:v>729000</x:v>
      </x:c>
      <x:c r="I420" s="16" t="n">
        <x:v>120000</x:v>
      </x:c>
      <x:c r="J420" s="16" t="n">
        <x:v>76000</x:v>
      </x:c>
      <x:c r="K420" s="16" t="n">
        <x:v>22000</x:v>
      </x:c>
      <x:c r="L420" s="14" t="n">
        <x:f>SUM(I420:K420)</x:f>
        <x:v>218000</x:v>
      </x:c>
      <x:c r="M420" s="14" t="n">
        <x:f>H420-L420</x:f>
        <x:v>511000</x:v>
      </x:c>
    </x:row>
    <x:row r="421">
      <x:c r="A421" t="str">
        <x:v>T0420</x:v>
      </x:c>
      <x:c r="B421" t="n">
        <x:v>9</x:v>
      </x:c>
      <x:c r="C421" t="str">
        <x:v>C008</x:v>
      </x:c>
      <x:c r="D421" t="str">
        <x:v>IT</x:v>
      </x:c>
      <x:c r="E421" t="str">
        <x:v>Q3</x:v>
      </x:c>
      <x:c r="F421" t="str">
        <x:v>継続契約</x:v>
      </x:c>
      <x:c r="G421" t="str">
        <x:v>導入・運用支援</x:v>
      </x:c>
      <x:c r="H421" s="16" t="n">
        <x:v>1248000</x:v>
      </x:c>
      <x:c r="I421" s="16" t="n">
        <x:v>250000</x:v>
      </x:c>
      <x:c r="J421" s="16" t="n">
        <x:v>159000</x:v>
      </x:c>
      <x:c r="K421" s="16" t="n">
        <x:v>45000</x:v>
      </x:c>
      <x:c r="L421" s="14" t="n">
        <x:f>SUM(I421:K421)</x:f>
        <x:v>454000</x:v>
      </x:c>
      <x:c r="M421" s="14" t="n">
        <x:f>H421-L421</x:f>
        <x:v>794000</x:v>
      </x:c>
    </x:row>
    <x:row r="422">
      <x:c r="A422" t="str">
        <x:v>T0421</x:v>
      </x:c>
      <x:c r="B422" t="n">
        <x:v>9</x:v>
      </x:c>
      <x:c r="C422" t="str">
        <x:v>C009</x:v>
      </x:c>
      <x:c r="D422" t="str">
        <x:v>IT</x:v>
      </x:c>
      <x:c r="E422" t="str">
        <x:v>Q3</x:v>
      </x:c>
      <x:c r="F422" t="str">
        <x:v>継続契約</x:v>
      </x:c>
      <x:c r="G422" t="str">
        <x:v>導入・運用支援</x:v>
      </x:c>
      <x:c r="H422" s="16" t="n">
        <x:v>1610000</x:v>
      </x:c>
      <x:c r="I422" s="16" t="n">
        <x:v>315000</x:v>
      </x:c>
      <x:c r="J422" s="16" t="n">
        <x:v>201000</x:v>
      </x:c>
      <x:c r="K422" s="16" t="n">
        <x:v>57000</x:v>
      </x:c>
      <x:c r="L422" s="14" t="n">
        <x:f>SUM(I422:K422)</x:f>
        <x:v>573000</x:v>
      </x:c>
      <x:c r="M422" s="14" t="n">
        <x:f>H422-L422</x:f>
        <x:v>1037000</x:v>
      </x:c>
    </x:row>
    <x:row r="423">
      <x:c r="A423" t="str">
        <x:v>T0422</x:v>
      </x:c>
      <x:c r="B423" t="n">
        <x:v>9</x:v>
      </x:c>
      <x:c r="C423" t="str">
        <x:v>C010</x:v>
      </x:c>
      <x:c r="D423" t="str">
        <x:v>IT</x:v>
      </x:c>
      <x:c r="E423" t="str">
        <x:v>Q3</x:v>
      </x:c>
      <x:c r="F423" t="str">
        <x:v>スポット中心</x:v>
      </x:c>
      <x:c r="G423" t="str">
        <x:v>導入・運用支援</x:v>
      </x:c>
      <x:c r="H423" s="16" t="n">
        <x:v>942000</x:v>
      </x:c>
      <x:c r="I423" s="16" t="n">
        <x:v>204000</x:v>
      </x:c>
      <x:c r="J423" s="16" t="n">
        <x:v>130000</x:v>
      </x:c>
      <x:c r="K423" s="16" t="n">
        <x:v>37000</x:v>
      </x:c>
      <x:c r="L423" s="14" t="n">
        <x:f>SUM(I423:K423)</x:f>
        <x:v>371000</x:v>
      </x:c>
      <x:c r="M423" s="14" t="n">
        <x:f>H423-L423</x:f>
        <x:v>571000</x:v>
      </x:c>
    </x:row>
    <x:row r="424">
      <x:c r="A424" t="str">
        <x:v>T0423</x:v>
      </x:c>
      <x:c r="B424" t="n">
        <x:v>9</x:v>
      </x:c>
      <x:c r="C424" t="str">
        <x:v>C010</x:v>
      </x:c>
      <x:c r="D424" t="str">
        <x:v>IT</x:v>
      </x:c>
      <x:c r="E424" t="str">
        <x:v>Q3</x:v>
      </x:c>
      <x:c r="F424" t="str">
        <x:v>スポット中心</x:v>
      </x:c>
      <x:c r="G424" t="str">
        <x:v>導入・運用支援</x:v>
      </x:c>
      <x:c r="H424" s="16" t="n">
        <x:v>734000</x:v>
      </x:c>
      <x:c r="I424" s="16" t="n">
        <x:v>136000</x:v>
      </x:c>
      <x:c r="J424" s="16" t="n">
        <x:v>87000</x:v>
      </x:c>
      <x:c r="K424" s="16" t="n">
        <x:v>25000</x:v>
      </x:c>
      <x:c r="L424" s="14" t="n">
        <x:f>SUM(I424:K424)</x:f>
        <x:v>248000</x:v>
      </x:c>
      <x:c r="M424" s="14" t="n">
        <x:f>H424-L424</x:f>
        <x:v>486000</x:v>
      </x:c>
    </x:row>
    <x:row r="425">
      <x:c r="A425" t="str">
        <x:v>T0424</x:v>
      </x:c>
      <x:c r="B425" t="n">
        <x:v>9</x:v>
      </x:c>
      <x:c r="C425" t="str">
        <x:v>C011</x:v>
      </x:c>
      <x:c r="D425" t="str">
        <x:v>IT</x:v>
      </x:c>
      <x:c r="E425" t="str">
        <x:v>Q3</x:v>
      </x:c>
      <x:c r="F425" t="str">
        <x:v>継続契約</x:v>
      </x:c>
      <x:c r="G425" t="str">
        <x:v>導入・運用支援</x:v>
      </x:c>
      <x:c r="H425" s="16" t="n">
        <x:v>1579000</x:v>
      </x:c>
      <x:c r="I425" s="16" t="n">
        <x:v>283000</x:v>
      </x:c>
      <x:c r="J425" s="16" t="n">
        <x:v>180000</x:v>
      </x:c>
      <x:c r="K425" s="16" t="n">
        <x:v>51000</x:v>
      </x:c>
      <x:c r="L425" s="14" t="n">
        <x:f>SUM(I425:K425)</x:f>
        <x:v>514000</x:v>
      </x:c>
      <x:c r="M425" s="14" t="n">
        <x:f>H425-L425</x:f>
        <x:v>1065000</x:v>
      </x:c>
    </x:row>
    <x:row r="426">
      <x:c r="A426" t="str">
        <x:v>T0425</x:v>
      </x:c>
      <x:c r="B426" t="n">
        <x:v>9</x:v>
      </x:c>
      <x:c r="C426" t="str">
        <x:v>C012</x:v>
      </x:c>
      <x:c r="D426" t="str">
        <x:v>IT</x:v>
      </x:c>
      <x:c r="E426" t="str">
        <x:v>Q3</x:v>
      </x:c>
      <x:c r="F426" t="str">
        <x:v>継続契約</x:v>
      </x:c>
      <x:c r="G426" t="str">
        <x:v>導入・運用支援</x:v>
      </x:c>
      <x:c r="H426" s="16" t="n">
        <x:v>1757000</x:v>
      </x:c>
      <x:c r="I426" s="16" t="n">
        <x:v>324000</x:v>
      </x:c>
      <x:c r="J426" s="16" t="n">
        <x:v>206000</x:v>
      </x:c>
      <x:c r="K426" s="16" t="n">
        <x:v>60000</x:v>
      </x:c>
      <x:c r="L426" s="14" t="n">
        <x:f>SUM(I426:K426)</x:f>
        <x:v>590000</x:v>
      </x:c>
      <x:c r="M426" s="14" t="n">
        <x:f>H426-L426</x:f>
        <x:v>1167000</x:v>
      </x:c>
    </x:row>
    <x:row r="427">
      <x:c r="A427" t="str">
        <x:v>T0426</x:v>
      </x:c>
      <x:c r="B427" t="n">
        <x:v>9</x:v>
      </x:c>
      <x:c r="C427" t="str">
        <x:v>C013</x:v>
      </x:c>
      <x:c r="D427" t="str">
        <x:v>IT</x:v>
      </x:c>
      <x:c r="E427" t="str">
        <x:v>Q3</x:v>
      </x:c>
      <x:c r="F427" t="str">
        <x:v>継続契約</x:v>
      </x:c>
      <x:c r="G427" t="str">
        <x:v>導入・運用支援</x:v>
      </x:c>
      <x:c r="H427" s="16" t="n">
        <x:v>1206000</x:v>
      </x:c>
      <x:c r="I427" s="16" t="n">
        <x:v>245000</x:v>
      </x:c>
      <x:c r="J427" s="16" t="n">
        <x:v>156000</x:v>
      </x:c>
      <x:c r="K427" s="16" t="n">
        <x:v>44000</x:v>
      </x:c>
      <x:c r="L427" s="14" t="n">
        <x:f>SUM(I427:K427)</x:f>
        <x:v>445000</x:v>
      </x:c>
      <x:c r="M427" s="14" t="n">
        <x:f>H427-L427</x:f>
        <x:v>761000</x:v>
      </x:c>
    </x:row>
    <x:row r="428">
      <x:c r="A428" t="str">
        <x:v>T0427</x:v>
      </x:c>
      <x:c r="B428" t="n">
        <x:v>9</x:v>
      </x:c>
      <x:c r="C428" t="str">
        <x:v>C014</x:v>
      </x:c>
      <x:c r="D428" t="str">
        <x:v>IT</x:v>
      </x:c>
      <x:c r="E428" t="str">
        <x:v>Q3</x:v>
      </x:c>
      <x:c r="F428" t="str">
        <x:v>継続契約</x:v>
      </x:c>
      <x:c r="G428" t="str">
        <x:v>導入・運用支援</x:v>
      </x:c>
      <x:c r="H428" s="16" t="n">
        <x:v>673000</x:v>
      </x:c>
      <x:c r="I428" s="16" t="n">
        <x:v>147000</x:v>
      </x:c>
      <x:c r="J428" s="16" t="n">
        <x:v>94000</x:v>
      </x:c>
      <x:c r="K428" s="16" t="n">
        <x:v>27000</x:v>
      </x:c>
      <x:c r="L428" s="14" t="n">
        <x:f>SUM(I428:K428)</x:f>
        <x:v>268000</x:v>
      </x:c>
      <x:c r="M428" s="14" t="n">
        <x:f>H428-L428</x:f>
        <x:v>405000</x:v>
      </x:c>
    </x:row>
    <x:row r="429">
      <x:c r="A429" t="str">
        <x:v>T0428</x:v>
      </x:c>
      <x:c r="B429" t="n">
        <x:v>9</x:v>
      </x:c>
      <x:c r="C429" t="str">
        <x:v>C014</x:v>
      </x:c>
      <x:c r="D429" t="str">
        <x:v>IT</x:v>
      </x:c>
      <x:c r="E429" t="str">
        <x:v>Q3</x:v>
      </x:c>
      <x:c r="F429" t="str">
        <x:v>継続契約</x:v>
      </x:c>
      <x:c r="G429" t="str">
        <x:v>導入・運用支援</x:v>
      </x:c>
      <x:c r="H429" s="16" t="n">
        <x:v>779000</x:v>
      </x:c>
      <x:c r="I429" s="16" t="n">
        <x:v>139000</x:v>
      </x:c>
      <x:c r="J429" s="16" t="n">
        <x:v>88000</x:v>
      </x:c>
      <x:c r="K429" s="16" t="n">
        <x:v>25000</x:v>
      </x:c>
      <x:c r="L429" s="14" t="n">
        <x:f>SUM(I429:K429)</x:f>
        <x:v>252000</x:v>
      </x:c>
      <x:c r="M429" s="14" t="n">
        <x:f>H429-L429</x:f>
        <x:v>527000</x:v>
      </x:c>
    </x:row>
    <x:row r="430">
      <x:c r="A430" t="str">
        <x:v>T0429</x:v>
      </x:c>
      <x:c r="B430" t="n">
        <x:v>9</x:v>
      </x:c>
      <x:c r="C430" t="str">
        <x:v>C016</x:v>
      </x:c>
      <x:c r="D430" t="str">
        <x:v>IT</x:v>
      </x:c>
      <x:c r="E430" t="str">
        <x:v>Q3</x:v>
      </x:c>
      <x:c r="F430" t="str">
        <x:v>継続契約</x:v>
      </x:c>
      <x:c r="G430" t="str">
        <x:v>導入・運用支援</x:v>
      </x:c>
      <x:c r="H430" s="16" t="n">
        <x:v>1432000</x:v>
      </x:c>
      <x:c r="I430" s="16" t="n">
        <x:v>285000</x:v>
      </x:c>
      <x:c r="J430" s="16" t="n">
        <x:v>181000</x:v>
      </x:c>
      <x:c r="K430" s="16" t="n">
        <x:v>52000</x:v>
      </x:c>
      <x:c r="L430" s="14" t="n">
        <x:f>SUM(I430:K430)</x:f>
        <x:v>518000</x:v>
      </x:c>
      <x:c r="M430" s="14" t="n">
        <x:f>H430-L430</x:f>
        <x:v>914000</x:v>
      </x:c>
    </x:row>
    <x:row r="431">
      <x:c r="A431" t="str">
        <x:v>T0430</x:v>
      </x:c>
      <x:c r="B431" t="n">
        <x:v>9</x:v>
      </x:c>
      <x:c r="C431" t="str">
        <x:v>C017</x:v>
      </x:c>
      <x:c r="D431" t="str">
        <x:v>IT</x:v>
      </x:c>
      <x:c r="E431" t="str">
        <x:v>Q3</x:v>
      </x:c>
      <x:c r="F431" t="str">
        <x:v>継続契約</x:v>
      </x:c>
      <x:c r="G431" t="str">
        <x:v>導入・運用支援</x:v>
      </x:c>
      <x:c r="H431" s="16" t="n">
        <x:v>638000</x:v>
      </x:c>
      <x:c r="I431" s="16" t="n">
        <x:v>113000</x:v>
      </x:c>
      <x:c r="J431" s="16" t="n">
        <x:v>72000</x:v>
      </x:c>
      <x:c r="K431" s="16" t="n">
        <x:v>21000</x:v>
      </x:c>
      <x:c r="L431" s="14" t="n">
        <x:f>SUM(I431:K431)</x:f>
        <x:v>206000</x:v>
      </x:c>
      <x:c r="M431" s="14" t="n">
        <x:f>H431-L431</x:f>
        <x:v>432000</x:v>
      </x:c>
    </x:row>
    <x:row r="432">
      <x:c r="A432" t="str">
        <x:v>T0431</x:v>
      </x:c>
      <x:c r="B432" t="n">
        <x:v>9</x:v>
      </x:c>
      <x:c r="C432" t="str">
        <x:v>C017</x:v>
      </x:c>
      <x:c r="D432" t="str">
        <x:v>IT</x:v>
      </x:c>
      <x:c r="E432" t="str">
        <x:v>Q3</x:v>
      </x:c>
      <x:c r="F432" t="str">
        <x:v>継続契約</x:v>
      </x:c>
      <x:c r="G432" t="str">
        <x:v>導入・運用支援</x:v>
      </x:c>
      <x:c r="H432" s="16" t="n">
        <x:v>584000</x:v>
      </x:c>
      <x:c r="I432" s="16" t="n">
        <x:v>129000</x:v>
      </x:c>
      <x:c r="J432" s="16" t="n">
        <x:v>82000</x:v>
      </x:c>
      <x:c r="K432" s="16" t="n">
        <x:v>23000</x:v>
      </x:c>
      <x:c r="L432" s="14" t="n">
        <x:f>SUM(I432:K432)</x:f>
        <x:v>234000</x:v>
      </x:c>
      <x:c r="M432" s="14" t="n">
        <x:f>H432-L432</x:f>
        <x:v>350000</x:v>
      </x:c>
    </x:row>
    <x:row r="433">
      <x:c r="A433" t="str">
        <x:v>T0432</x:v>
      </x:c>
      <x:c r="B433" t="n">
        <x:v>9</x:v>
      </x:c>
      <x:c r="C433" t="str">
        <x:v>C018</x:v>
      </x:c>
      <x:c r="D433" t="str">
        <x:v>IT</x:v>
      </x:c>
      <x:c r="E433" t="str">
        <x:v>Q3</x:v>
      </x:c>
      <x:c r="F433" t="str">
        <x:v>継続契約</x:v>
      </x:c>
      <x:c r="G433" t="str">
        <x:v>導入・運用支援</x:v>
      </x:c>
      <x:c r="H433" s="16" t="n">
        <x:v>1025000</x:v>
      </x:c>
      <x:c r="I433" s="16" t="n">
        <x:v>184000</x:v>
      </x:c>
      <x:c r="J433" s="16" t="n">
        <x:v>117000</x:v>
      </x:c>
      <x:c r="K433" s="16" t="n">
        <x:v>33000</x:v>
      </x:c>
      <x:c r="L433" s="14" t="n">
        <x:f>SUM(I433:K433)</x:f>
        <x:v>334000</x:v>
      </x:c>
      <x:c r="M433" s="14" t="n">
        <x:f>H433-L433</x:f>
        <x:v>691000</x:v>
      </x:c>
    </x:row>
    <x:row r="434">
      <x:c r="A434" t="str">
        <x:v>T0433</x:v>
      </x:c>
      <x:c r="B434" t="n">
        <x:v>9</x:v>
      </x:c>
      <x:c r="C434" t="str">
        <x:v>C019</x:v>
      </x:c>
      <x:c r="D434" t="str">
        <x:v>BPO</x:v>
      </x:c>
      <x:c r="E434" t="str">
        <x:v>Q3</x:v>
      </x:c>
      <x:c r="F434" t="str">
        <x:v>継続契約</x:v>
      </x:c>
      <x:c r="G434" t="str">
        <x:v>業務運用代行</x:v>
      </x:c>
      <x:c r="H434" s="16" t="n">
        <x:v>3076000</x:v>
      </x:c>
      <x:c r="I434" s="16" t="n">
        <x:v>792000</x:v>
      </x:c>
      <x:c r="J434" s="16" t="n">
        <x:v>135000</x:v>
      </x:c>
      <x:c r="K434" s="16" t="n">
        <x:v>115000</x:v>
      </x:c>
      <x:c r="L434" s="14" t="n">
        <x:f>SUM(I434:K434)</x:f>
        <x:v>1042000</x:v>
      </x:c>
      <x:c r="M434" s="14" t="n">
        <x:f>H434-L434</x:f>
        <x:v>2034000</x:v>
      </x:c>
    </x:row>
    <x:row r="435">
      <x:c r="A435" t="str">
        <x:v>T0434</x:v>
      </x:c>
      <x:c r="B435" t="n">
        <x:v>9</x:v>
      </x:c>
      <x:c r="C435" t="str">
        <x:v>C021</x:v>
      </x:c>
      <x:c r="D435" t="str">
        <x:v>BPO</x:v>
      </x:c>
      <x:c r="E435" t="str">
        <x:v>Q3</x:v>
      </x:c>
      <x:c r="F435" t="str">
        <x:v>継続契約</x:v>
      </x:c>
      <x:c r="G435" t="str">
        <x:v>業務運用代行</x:v>
      </x:c>
      <x:c r="H435" s="16" t="n">
        <x:v>1391000</x:v>
      </x:c>
      <x:c r="I435" s="16" t="n">
        <x:v>343000</x:v>
      </x:c>
      <x:c r="J435" s="16" t="n">
        <x:v>59000</x:v>
      </x:c>
      <x:c r="K435" s="16" t="n">
        <x:v>49000</x:v>
      </x:c>
      <x:c r="L435" s="14" t="n">
        <x:f>SUM(I435:K435)</x:f>
        <x:v>451000</x:v>
      </x:c>
      <x:c r="M435" s="14" t="n">
        <x:f>H435-L435</x:f>
        <x:v>940000</x:v>
      </x:c>
    </x:row>
    <x:row r="436">
      <x:c r="A436" t="str">
        <x:v>T0435</x:v>
      </x:c>
      <x:c r="B436" t="n">
        <x:v>9</x:v>
      </x:c>
      <x:c r="C436" t="str">
        <x:v>C022</x:v>
      </x:c>
      <x:c r="D436" t="str">
        <x:v>BPO</x:v>
      </x:c>
      <x:c r="E436" t="str">
        <x:v>Q3</x:v>
      </x:c>
      <x:c r="F436" t="str">
        <x:v>継続契約</x:v>
      </x:c>
      <x:c r="G436" t="str">
        <x:v>業務運用代行</x:v>
      </x:c>
      <x:c r="H436" s="16" t="n">
        <x:v>1540000</x:v>
      </x:c>
      <x:c r="I436" s="16" t="n">
        <x:v>323000</x:v>
      </x:c>
      <x:c r="J436" s="16" t="n">
        <x:v>55000</x:v>
      </x:c>
      <x:c r="K436" s="16" t="n">
        <x:v>47000</x:v>
      </x:c>
      <x:c r="L436" s="14" t="n">
        <x:f>SUM(I436:K436)</x:f>
        <x:v>425000</x:v>
      </x:c>
      <x:c r="M436" s="14" t="n">
        <x:f>H436-L436</x:f>
        <x:v>1115000</x:v>
      </x:c>
    </x:row>
    <x:row r="437">
      <x:c r="A437" t="str">
        <x:v>T0436</x:v>
      </x:c>
      <x:c r="B437" t="n">
        <x:v>9</x:v>
      </x:c>
      <x:c r="C437" t="str">
        <x:v>C023</x:v>
      </x:c>
      <x:c r="D437" t="str">
        <x:v>BPO</x:v>
      </x:c>
      <x:c r="E437" t="str">
        <x:v>Q3</x:v>
      </x:c>
      <x:c r="F437" t="str">
        <x:v>継続契約</x:v>
      </x:c>
      <x:c r="G437" t="str">
        <x:v>業務運用代行</x:v>
      </x:c>
      <x:c r="H437" s="16" t="n">
        <x:v>1436000</x:v>
      </x:c>
      <x:c r="I437" s="16" t="n">
        <x:v>325000</x:v>
      </x:c>
      <x:c r="J437" s="16" t="n">
        <x:v>56000</x:v>
      </x:c>
      <x:c r="K437" s="16" t="n">
        <x:v>47000</x:v>
      </x:c>
      <x:c r="L437" s="14" t="n">
        <x:f>SUM(I437:K437)</x:f>
        <x:v>428000</x:v>
      </x:c>
      <x:c r="M437" s="14" t="n">
        <x:f>H437-L437</x:f>
        <x:v>1008000</x:v>
      </x:c>
    </x:row>
    <x:row r="438">
      <x:c r="A438" t="str">
        <x:v>T0437</x:v>
      </x:c>
      <x:c r="B438" t="n">
        <x:v>9</x:v>
      </x:c>
      <x:c r="C438" t="str">
        <x:v>C024</x:v>
      </x:c>
      <x:c r="D438" t="str">
        <x:v>BPO</x:v>
      </x:c>
      <x:c r="E438" t="str">
        <x:v>Q3</x:v>
      </x:c>
      <x:c r="F438" t="str">
        <x:v>継続契約</x:v>
      </x:c>
      <x:c r="G438" t="str">
        <x:v>業務運用代行</x:v>
      </x:c>
      <x:c r="H438" s="16" t="n">
        <x:v>1562000</x:v>
      </x:c>
      <x:c r="I438" s="16" t="n">
        <x:v>331000</x:v>
      </x:c>
      <x:c r="J438" s="16" t="n">
        <x:v>57000</x:v>
      </x:c>
      <x:c r="K438" s="16" t="n">
        <x:v>48000</x:v>
      </x:c>
      <x:c r="L438" s="14" t="n">
        <x:f>SUM(I438:K438)</x:f>
        <x:v>436000</x:v>
      </x:c>
      <x:c r="M438" s="14" t="n">
        <x:f>H438-L438</x:f>
        <x:v>1126000</x:v>
      </x:c>
    </x:row>
    <x:row r="439">
      <x:c r="A439" t="str">
        <x:v>T0438</x:v>
      </x:c>
      <x:c r="B439" t="n">
        <x:v>9</x:v>
      </x:c>
      <x:c r="C439" t="str">
        <x:v>C025</x:v>
      </x:c>
      <x:c r="D439" t="str">
        <x:v>BPO</x:v>
      </x:c>
      <x:c r="E439" t="str">
        <x:v>Q3</x:v>
      </x:c>
      <x:c r="F439" t="str">
        <x:v>継続契約</x:v>
      </x:c>
      <x:c r="G439" t="str">
        <x:v>業務運用代行</x:v>
      </x:c>
      <x:c r="H439" s="16" t="n">
        <x:v>1159000</x:v>
      </x:c>
      <x:c r="I439" s="16" t="n">
        <x:v>274000</x:v>
      </x:c>
      <x:c r="J439" s="16" t="n">
        <x:v>47000</x:v>
      </x:c>
      <x:c r="K439" s="16" t="n">
        <x:v>39000</x:v>
      </x:c>
      <x:c r="L439" s="14" t="n">
        <x:f>SUM(I439:K439)</x:f>
        <x:v>360000</x:v>
      </x:c>
      <x:c r="M439" s="14" t="n">
        <x:f>H439-L439</x:f>
        <x:v>799000</x:v>
      </x:c>
    </x:row>
    <x:row r="440">
      <x:c r="A440" t="str">
        <x:v>T0439</x:v>
      </x:c>
      <x:c r="B440" t="n">
        <x:v>9</x:v>
      </x:c>
      <x:c r="C440" t="str">
        <x:v>C026</x:v>
      </x:c>
      <x:c r="D440" t="str">
        <x:v>BPO</x:v>
      </x:c>
      <x:c r="E440" t="str">
        <x:v>Q3</x:v>
      </x:c>
      <x:c r="F440" t="str">
        <x:v>継続契約</x:v>
      </x:c>
      <x:c r="G440" t="str">
        <x:v>業務運用代行</x:v>
      </x:c>
      <x:c r="H440" s="16" t="n">
        <x:v>1341000</x:v>
      </x:c>
      <x:c r="I440" s="16" t="n">
        <x:v>342000</x:v>
      </x:c>
      <x:c r="J440" s="16" t="n">
        <x:v>58000</x:v>
      </x:c>
      <x:c r="K440" s="16" t="n">
        <x:v>50000</x:v>
      </x:c>
      <x:c r="L440" s="14" t="n">
        <x:f>SUM(I440:K440)</x:f>
        <x:v>450000</x:v>
      </x:c>
      <x:c r="M440" s="14" t="n">
        <x:f>H440-L440</x:f>
        <x:v>891000</x:v>
      </x:c>
    </x:row>
    <x:row r="441">
      <x:c r="A441" t="str">
        <x:v>T0440</x:v>
      </x:c>
      <x:c r="B441" t="n">
        <x:v>9</x:v>
      </x:c>
      <x:c r="C441" t="str">
        <x:v>C027</x:v>
      </x:c>
      <x:c r="D441" t="str">
        <x:v>BPO</x:v>
      </x:c>
      <x:c r="E441" t="str">
        <x:v>Q3</x:v>
      </x:c>
      <x:c r="F441" t="str">
        <x:v>継続契約</x:v>
      </x:c>
      <x:c r="G441" t="str">
        <x:v>業務運用代行</x:v>
      </x:c>
      <x:c r="H441" s="16" t="n">
        <x:v>1079000</x:v>
      </x:c>
      <x:c r="I441" s="16" t="n">
        <x:v>279000</x:v>
      </x:c>
      <x:c r="J441" s="16" t="n">
        <x:v>48000</x:v>
      </x:c>
      <x:c r="K441" s="16" t="n">
        <x:v>40000</x:v>
      </x:c>
      <x:c r="L441" s="14" t="n">
        <x:f>SUM(I441:K441)</x:f>
        <x:v>367000</x:v>
      </x:c>
      <x:c r="M441" s="14" t="n">
        <x:f>H441-L441</x:f>
        <x:v>712000</x:v>
      </x:c>
    </x:row>
    <x:row r="442">
      <x:c r="A442" t="str">
        <x:v>T0441</x:v>
      </x:c>
      <x:c r="B442" t="n">
        <x:v>9</x:v>
      </x:c>
      <x:c r="C442" t="str">
        <x:v>C028</x:v>
      </x:c>
      <x:c r="D442" t="str">
        <x:v>BPO</x:v>
      </x:c>
      <x:c r="E442" t="str">
        <x:v>Q3</x:v>
      </x:c>
      <x:c r="F442" t="str">
        <x:v>継続契約</x:v>
      </x:c>
      <x:c r="G442" t="str">
        <x:v>業務運用代行</x:v>
      </x:c>
      <x:c r="H442" s="16" t="n">
        <x:v>980000</x:v>
      </x:c>
      <x:c r="I442" s="16" t="n">
        <x:v>211000</x:v>
      </x:c>
      <x:c r="J442" s="16" t="n">
        <x:v>36000</x:v>
      </x:c>
      <x:c r="K442" s="16" t="n">
        <x:v>31000</x:v>
      </x:c>
      <x:c r="L442" s="14" t="n">
        <x:f>SUM(I442:K442)</x:f>
        <x:v>278000</x:v>
      </x:c>
      <x:c r="M442" s="14" t="n">
        <x:f>H442-L442</x:f>
        <x:v>702000</x:v>
      </x:c>
    </x:row>
    <x:row r="443">
      <x:c r="A443" t="str">
        <x:v>T0442</x:v>
      </x:c>
      <x:c r="B443" t="n">
        <x:v>9</x:v>
      </x:c>
      <x:c r="C443" t="str">
        <x:v>C029</x:v>
      </x:c>
      <x:c r="D443" t="str">
        <x:v>BPO</x:v>
      </x:c>
      <x:c r="E443" t="str">
        <x:v>Q3</x:v>
      </x:c>
      <x:c r="F443" t="str">
        <x:v>継続契約</x:v>
      </x:c>
      <x:c r="G443" t="str">
        <x:v>業務運用代行</x:v>
      </x:c>
      <x:c r="H443" s="16" t="n">
        <x:v>1305000</x:v>
      </x:c>
      <x:c r="I443" s="16" t="n">
        <x:v>340000</x:v>
      </x:c>
      <x:c r="J443" s="16" t="n">
        <x:v>58000</x:v>
      </x:c>
      <x:c r="K443" s="16" t="n">
        <x:v>49000</x:v>
      </x:c>
      <x:c r="L443" s="14" t="n">
        <x:f>SUM(I443:K443)</x:f>
        <x:v>447000</x:v>
      </x:c>
      <x:c r="M443" s="14" t="n">
        <x:f>H443-L443</x:f>
        <x:v>858000</x:v>
      </x:c>
    </x:row>
    <x:row r="444">
      <x:c r="A444" t="str">
        <x:v>T0443</x:v>
      </x:c>
      <x:c r="B444" t="n">
        <x:v>9</x:v>
      </x:c>
      <x:c r="C444" t="str">
        <x:v>C030</x:v>
      </x:c>
      <x:c r="D444" t="str">
        <x:v>BPO</x:v>
      </x:c>
      <x:c r="E444" t="str">
        <x:v>Q3</x:v>
      </x:c>
      <x:c r="F444" t="str">
        <x:v>継続契約</x:v>
      </x:c>
      <x:c r="G444" t="str">
        <x:v>業務運用代行</x:v>
      </x:c>
      <x:c r="H444" s="16" t="n">
        <x:v>1424000</x:v>
      </x:c>
      <x:c r="I444" s="16" t="n">
        <x:v>339000</x:v>
      </x:c>
      <x:c r="J444" s="16" t="n">
        <x:v>58000</x:v>
      </x:c>
      <x:c r="K444" s="16" t="n">
        <x:v>49000</x:v>
      </x:c>
      <x:c r="L444" s="14" t="n">
        <x:f>SUM(I444:K444)</x:f>
        <x:v>446000</x:v>
      </x:c>
      <x:c r="M444" s="14" t="n">
        <x:f>H444-L444</x:f>
        <x:v>978000</x:v>
      </x:c>
    </x:row>
    <x:row r="445">
      <x:c r="A445" t="str">
        <x:v>T0444</x:v>
      </x:c>
      <x:c r="B445" t="n">
        <x:v>9</x:v>
      </x:c>
      <x:c r="C445" t="str">
        <x:v>C031</x:v>
      </x:c>
      <x:c r="D445" t="str">
        <x:v>BPO</x:v>
      </x:c>
      <x:c r="E445" t="str">
        <x:v>Q3</x:v>
      </x:c>
      <x:c r="F445" t="str">
        <x:v>継続契約</x:v>
      </x:c>
      <x:c r="G445" t="str">
        <x:v>業務運用代行</x:v>
      </x:c>
      <x:c r="H445" s="16" t="n">
        <x:v>1613000</x:v>
      </x:c>
      <x:c r="I445" s="16" t="n">
        <x:v>333000</x:v>
      </x:c>
      <x:c r="J445" s="16" t="n">
        <x:v>57000</x:v>
      </x:c>
      <x:c r="K445" s="16" t="n">
        <x:v>48000</x:v>
      </x:c>
      <x:c r="L445" s="14" t="n">
        <x:f>SUM(I445:K445)</x:f>
        <x:v>438000</x:v>
      </x:c>
      <x:c r="M445" s="14" t="n">
        <x:f>H445-L445</x:f>
        <x:v>1175000</x:v>
      </x:c>
    </x:row>
    <x:row r="446">
      <x:c r="A446" t="str">
        <x:v>T0445</x:v>
      </x:c>
      <x:c r="B446" t="n">
        <x:v>9</x:v>
      </x:c>
      <x:c r="C446" t="str">
        <x:v>C032</x:v>
      </x:c>
      <x:c r="D446" t="str">
        <x:v>BPO</x:v>
      </x:c>
      <x:c r="E446" t="str">
        <x:v>Q3</x:v>
      </x:c>
      <x:c r="F446" t="str">
        <x:v>継続契約</x:v>
      </x:c>
      <x:c r="G446" t="str">
        <x:v>業務運用代行</x:v>
      </x:c>
      <x:c r="H446" s="16" t="n">
        <x:v>1198000</x:v>
      </x:c>
      <x:c r="I446" s="16" t="n">
        <x:v>262000</x:v>
      </x:c>
      <x:c r="J446" s="16" t="n">
        <x:v>45000</x:v>
      </x:c>
      <x:c r="K446" s="16" t="n">
        <x:v>38000</x:v>
      </x:c>
      <x:c r="L446" s="14" t="n">
        <x:f>SUM(I446:K446)</x:f>
        <x:v>345000</x:v>
      </x:c>
      <x:c r="M446" s="14" t="n">
        <x:f>H446-L446</x:f>
        <x:v>853000</x:v>
      </x:c>
    </x:row>
    <x:row r="447">
      <x:c r="A447" t="str">
        <x:v>T0446</x:v>
      </x:c>
      <x:c r="B447" t="n">
        <x:v>9</x:v>
      </x:c>
      <x:c r="C447" t="str">
        <x:v>C033</x:v>
      </x:c>
      <x:c r="D447" t="str">
        <x:v>BPO</x:v>
      </x:c>
      <x:c r="E447" t="str">
        <x:v>Q3</x:v>
      </x:c>
      <x:c r="F447" t="str">
        <x:v>継続契約</x:v>
      </x:c>
      <x:c r="G447" t="str">
        <x:v>業務運用代行</x:v>
      </x:c>
      <x:c r="H447" s="16" t="n">
        <x:v>1331000</x:v>
      </x:c>
      <x:c r="I447" s="16" t="n">
        <x:v>315000</x:v>
      </x:c>
      <x:c r="J447" s="16" t="n">
        <x:v>54000</x:v>
      </x:c>
      <x:c r="K447" s="16" t="n">
        <x:v>46000</x:v>
      </x:c>
      <x:c r="L447" s="14" t="n">
        <x:f>SUM(I447:K447)</x:f>
        <x:v>415000</x:v>
      </x:c>
      <x:c r="M447" s="14" t="n">
        <x:f>H447-L447</x:f>
        <x:v>916000</x:v>
      </x:c>
    </x:row>
    <x:row r="448">
      <x:c r="A448" t="str">
        <x:v>T0447</x:v>
      </x:c>
      <x:c r="B448" t="n">
        <x:v>9</x:v>
      </x:c>
      <x:c r="C448" t="str">
        <x:v>C034</x:v>
      </x:c>
      <x:c r="D448" t="str">
        <x:v>TRN</x:v>
      </x:c>
      <x:c r="E448" t="str">
        <x:v>Q3</x:v>
      </x:c>
      <x:c r="F448" t="str">
        <x:v>継続契約</x:v>
      </x:c>
      <x:c r="G448" t="str">
        <x:v>研修プログラム</x:v>
      </x:c>
      <x:c r="H448" s="16" t="n">
        <x:v>1545000</x:v>
      </x:c>
      <x:c r="I448" s="16" t="n">
        <x:v>113000</x:v>
      </x:c>
      <x:c r="J448" s="16" t="n">
        <x:v>57000</x:v>
      </x:c>
      <x:c r="K448" s="16" t="n">
        <x:v>145000</x:v>
      </x:c>
      <x:c r="L448" s="14" t="n">
        <x:f>SUM(I448:K448)</x:f>
        <x:v>315000</x:v>
      </x:c>
      <x:c r="M448" s="14" t="n">
        <x:f>H448-L448</x:f>
        <x:v>1230000</x:v>
      </x:c>
    </x:row>
    <x:row r="449">
      <x:c r="A449" t="str">
        <x:v>T0448</x:v>
      </x:c>
      <x:c r="B449" t="n">
        <x:v>9</x:v>
      </x:c>
      <x:c r="C449" t="str">
        <x:v>C036</x:v>
      </x:c>
      <x:c r="D449" t="str">
        <x:v>TRN</x:v>
      </x:c>
      <x:c r="E449" t="str">
        <x:v>Q3</x:v>
      </x:c>
      <x:c r="F449" t="str">
        <x:v>継続契約</x:v>
      </x:c>
      <x:c r="G449" t="str">
        <x:v>研修プログラム</x:v>
      </x:c>
      <x:c r="H449" s="16" t="n">
        <x:v>663000</x:v>
      </x:c>
      <x:c r="I449" s="16" t="n">
        <x:v>39000</x:v>
      </x:c>
      <x:c r="J449" s="16" t="n">
        <x:v>19000</x:v>
      </x:c>
      <x:c r="K449" s="16" t="n">
        <x:v>49000</x:v>
      </x:c>
      <x:c r="L449" s="14" t="n">
        <x:f>SUM(I449:K449)</x:f>
        <x:v>107000</x:v>
      </x:c>
      <x:c r="M449" s="14" t="n">
        <x:f>H449-L449</x:f>
        <x:v>556000</x:v>
      </x:c>
    </x:row>
    <x:row r="450">
      <x:c r="A450" t="str">
        <x:v>T0449</x:v>
      </x:c>
      <x:c r="B450" t="n">
        <x:v>9</x:v>
      </x:c>
      <x:c r="C450" t="str">
        <x:v>C038</x:v>
      </x:c>
      <x:c r="D450" t="str">
        <x:v>TRN</x:v>
      </x:c>
      <x:c r="E450" t="str">
        <x:v>Q3</x:v>
      </x:c>
      <x:c r="F450" t="str">
        <x:v>継続契約</x:v>
      </x:c>
      <x:c r="G450" t="str">
        <x:v>研修プログラム</x:v>
      </x:c>
      <x:c r="H450" s="16" t="n">
        <x:v>1037000</x:v>
      </x:c>
      <x:c r="I450" s="16" t="n">
        <x:v>48000</x:v>
      </x:c>
      <x:c r="J450" s="16" t="n">
        <x:v>24000</x:v>
      </x:c>
      <x:c r="K450" s="16" t="n">
        <x:v>62000</x:v>
      </x:c>
      <x:c r="L450" s="14" t="n">
        <x:f>SUM(I450:K450)</x:f>
        <x:v>134000</x:v>
      </x:c>
      <x:c r="M450" s="14" t="n">
        <x:f>H450-L450</x:f>
        <x:v>903000</x:v>
      </x:c>
    </x:row>
    <x:row r="451">
      <x:c r="A451" t="str">
        <x:v>T0450</x:v>
      </x:c>
      <x:c r="B451" t="n">
        <x:v>9</x:v>
      </x:c>
      <x:c r="C451" t="str">
        <x:v>C039</x:v>
      </x:c>
      <x:c r="D451" t="str">
        <x:v>TRN</x:v>
      </x:c>
      <x:c r="E451" t="str">
        <x:v>Q3</x:v>
      </x:c>
      <x:c r="F451" t="str">
        <x:v>継続契約</x:v>
      </x:c>
      <x:c r="G451" t="str">
        <x:v>研修プログラム</x:v>
      </x:c>
      <x:c r="H451" s="16" t="n">
        <x:v>736000</x:v>
      </x:c>
      <x:c r="I451" s="16" t="n">
        <x:v>27000</x:v>
      </x:c>
      <x:c r="J451" s="16" t="n">
        <x:v>14000</x:v>
      </x:c>
      <x:c r="K451" s="16" t="n">
        <x:v>35000</x:v>
      </x:c>
      <x:c r="L451" s="14" t="n">
        <x:f>SUM(I451:K451)</x:f>
        <x:v>76000</x:v>
      </x:c>
      <x:c r="M451" s="14" t="n">
        <x:f>H451-L451</x:f>
        <x:v>660000</x:v>
      </x:c>
    </x:row>
    <x:row r="452">
      <x:c r="A452" t="str">
        <x:v>T0451</x:v>
      </x:c>
      <x:c r="B452" t="n">
        <x:v>9</x:v>
      </x:c>
      <x:c r="C452" t="str">
        <x:v>C040</x:v>
      </x:c>
      <x:c r="D452" t="str">
        <x:v>TRN</x:v>
      </x:c>
      <x:c r="E452" t="str">
        <x:v>Q3</x:v>
      </x:c>
      <x:c r="F452" t="str">
        <x:v>スポット中心</x:v>
      </x:c>
      <x:c r="G452" t="str">
        <x:v>研修プログラム</x:v>
      </x:c>
      <x:c r="H452" s="16" t="n">
        <x:v>939000</x:v>
      </x:c>
      <x:c r="I452" s="16" t="n">
        <x:v>62000</x:v>
      </x:c>
      <x:c r="J452" s="16" t="n">
        <x:v>31000</x:v>
      </x:c>
      <x:c r="K452" s="16" t="n">
        <x:v>80000</x:v>
      </x:c>
      <x:c r="L452" s="14" t="n">
        <x:f>SUM(I452:K452)</x:f>
        <x:v>173000</x:v>
      </x:c>
      <x:c r="M452" s="14" t="n">
        <x:f>H452-L452</x:f>
        <x:v>766000</x:v>
      </x:c>
    </x:row>
    <x:row r="453">
      <x:c r="A453" t="str">
        <x:v>T0452</x:v>
      </x:c>
      <x:c r="B453" t="n">
        <x:v>9</x:v>
      </x:c>
      <x:c r="C453" t="str">
        <x:v>C041</x:v>
      </x:c>
      <x:c r="D453" t="str">
        <x:v>TRN</x:v>
      </x:c>
      <x:c r="E453" t="str">
        <x:v>Q3</x:v>
      </x:c>
      <x:c r="F453" t="str">
        <x:v>継続契約</x:v>
      </x:c>
      <x:c r="G453" t="str">
        <x:v>研修プログラム</x:v>
      </x:c>
      <x:c r="H453" s="16" t="n">
        <x:v>982000</x:v>
      </x:c>
      <x:c r="I453" s="16" t="n">
        <x:v>54000</x:v>
      </x:c>
      <x:c r="J453" s="16" t="n">
        <x:v>27000</x:v>
      </x:c>
      <x:c r="K453" s="16" t="n">
        <x:v>69000</x:v>
      </x:c>
      <x:c r="L453" s="14" t="n">
        <x:f>SUM(I453:K453)</x:f>
        <x:v>150000</x:v>
      </x:c>
      <x:c r="M453" s="14" t="n">
        <x:f>H453-L453</x:f>
        <x:v>832000</x:v>
      </x:c>
    </x:row>
    <x:row r="454">
      <x:c r="A454" t="str">
        <x:v>T0453</x:v>
      </x:c>
      <x:c r="B454" t="n">
        <x:v>9</x:v>
      </x:c>
      <x:c r="C454" t="str">
        <x:v>C042</x:v>
      </x:c>
      <x:c r="D454" t="str">
        <x:v>TRN</x:v>
      </x:c>
      <x:c r="E454" t="str">
        <x:v>Q3</x:v>
      </x:c>
      <x:c r="F454" t="str">
        <x:v>継続契約</x:v>
      </x:c>
      <x:c r="G454" t="str">
        <x:v>研修プログラム</x:v>
      </x:c>
      <x:c r="H454" s="16" t="n">
        <x:v>755000</x:v>
      </x:c>
      <x:c r="I454" s="16" t="n">
        <x:v>28000</x:v>
      </x:c>
      <x:c r="J454" s="16" t="n">
        <x:v>14000</x:v>
      </x:c>
      <x:c r="K454" s="16" t="n">
        <x:v>37000</x:v>
      </x:c>
      <x:c r="L454" s="14" t="n">
        <x:f>SUM(I454:K454)</x:f>
        <x:v>79000</x:v>
      </x:c>
      <x:c r="M454" s="14" t="n">
        <x:f>H454-L454</x:f>
        <x:v>676000</x:v>
      </x:c>
    </x:row>
    <x:row r="455">
      <x:c r="A455" t="str">
        <x:v>T0454</x:v>
      </x:c>
      <x:c r="B455" t="n">
        <x:v>9</x:v>
      </x:c>
      <x:c r="C455" t="str">
        <x:v>C043</x:v>
      </x:c>
      <x:c r="D455" t="str">
        <x:v>TRN</x:v>
      </x:c>
      <x:c r="E455" t="str">
        <x:v>Q3</x:v>
      </x:c>
      <x:c r="F455" t="str">
        <x:v>継続契約</x:v>
      </x:c>
      <x:c r="G455" t="str">
        <x:v>研修プログラム</x:v>
      </x:c>
      <x:c r="H455" s="16" t="n">
        <x:v>517000</x:v>
      </x:c>
      <x:c r="I455" s="16" t="n">
        <x:v>22000</x:v>
      </x:c>
      <x:c r="J455" s="16" t="n">
        <x:v>11000</x:v>
      </x:c>
      <x:c r="K455" s="16" t="n">
        <x:v>29000</x:v>
      </x:c>
      <x:c r="L455" s="14" t="n">
        <x:f>SUM(I455:K455)</x:f>
        <x:v>62000</x:v>
      </x:c>
      <x:c r="M455" s="14" t="n">
        <x:f>H455-L455</x:f>
        <x:v>455000</x:v>
      </x:c>
    </x:row>
    <x:row r="456">
      <x:c r="A456" t="str">
        <x:v>T0455</x:v>
      </x:c>
      <x:c r="B456" t="n">
        <x:v>9</x:v>
      </x:c>
      <x:c r="C456" t="str">
        <x:v>C045</x:v>
      </x:c>
      <x:c r="D456" t="str">
        <x:v>TRN</x:v>
      </x:c>
      <x:c r="E456" t="str">
        <x:v>Q3</x:v>
      </x:c>
      <x:c r="F456" t="str">
        <x:v>スポット中心</x:v>
      </x:c>
      <x:c r="G456" t="str">
        <x:v>研修プログラム</x:v>
      </x:c>
      <x:c r="H456" s="16" t="n">
        <x:v>599000</x:v>
      </x:c>
      <x:c r="I456" s="16" t="n">
        <x:v>42000</x:v>
      </x:c>
      <x:c r="J456" s="16" t="n">
        <x:v>21000</x:v>
      </x:c>
      <x:c r="K456" s="16" t="n">
        <x:v>53000</x:v>
      </x:c>
      <x:c r="L456" s="14" t="n">
        <x:f>SUM(I456:K456)</x:f>
        <x:v>116000</x:v>
      </x:c>
      <x:c r="M456" s="14" t="n">
        <x:f>H456-L456</x:f>
        <x:v>483000</x:v>
      </x:c>
    </x:row>
    <x:row r="457">
      <x:c r="A457" t="str">
        <x:v>T0456</x:v>
      </x:c>
      <x:c r="B457" t="n">
        <x:v>10</x:v>
      </x:c>
      <x:c r="C457" t="str">
        <x:v>C001</x:v>
      </x:c>
      <x:c r="D457" t="str">
        <x:v>IT</x:v>
      </x:c>
      <x:c r="E457" t="str">
        <x:v>Q4</x:v>
      </x:c>
      <x:c r="F457" t="str">
        <x:v>継続契約</x:v>
      </x:c>
      <x:c r="G457" t="str">
        <x:v>導入・運用支援</x:v>
      </x:c>
      <x:c r="H457" s="16" t="n">
        <x:v>6699000</x:v>
      </x:c>
      <x:c r="I457" s="16" t="n">
        <x:v>1207000</x:v>
      </x:c>
      <x:c r="J457" s="16" t="n">
        <x:v>768000</x:v>
      </x:c>
      <x:c r="K457" s="16" t="n">
        <x:v>219000</x:v>
      </x:c>
      <x:c r="L457" s="14" t="n">
        <x:f>SUM(I457:K457)</x:f>
        <x:v>2194000</x:v>
      </x:c>
      <x:c r="M457" s="14" t="n">
        <x:f>H457-L457</x:f>
        <x:v>4505000</x:v>
      </x:c>
    </x:row>
    <x:row r="458">
      <x:c r="A458" t="str">
        <x:v>T0457</x:v>
      </x:c>
      <x:c r="B458" t="n">
        <x:v>10</x:v>
      </x:c>
      <x:c r="C458" t="str">
        <x:v>C002</x:v>
      </x:c>
      <x:c r="D458" t="str">
        <x:v>IT</x:v>
      </x:c>
      <x:c r="E458" t="str">
        <x:v>Q4</x:v>
      </x:c>
      <x:c r="F458" t="str">
        <x:v>継続契約</x:v>
      </x:c>
      <x:c r="G458" t="str">
        <x:v>導入・運用支援</x:v>
      </x:c>
      <x:c r="H458" s="16" t="n">
        <x:v>5792000</x:v>
      </x:c>
      <x:c r="I458" s="16" t="n">
        <x:v>1075000</x:v>
      </x:c>
      <x:c r="J458" s="16" t="n">
        <x:v>684000</x:v>
      </x:c>
      <x:c r="K458" s="16" t="n">
        <x:v>196000</x:v>
      </x:c>
      <x:c r="L458" s="14" t="n">
        <x:f>SUM(I458:K458)</x:f>
        <x:v>1955000</x:v>
      </x:c>
      <x:c r="M458" s="14" t="n">
        <x:f>H458-L458</x:f>
        <x:v>3837000</x:v>
      </x:c>
    </x:row>
    <x:row r="459">
      <x:c r="A459" t="str">
        <x:v>T0458</x:v>
      </x:c>
      <x:c r="B459" t="n">
        <x:v>10</x:v>
      </x:c>
      <x:c r="C459" t="str">
        <x:v>C003</x:v>
      </x:c>
      <x:c r="D459" t="str">
        <x:v>IT</x:v>
      </x:c>
      <x:c r="E459" t="str">
        <x:v>Q4</x:v>
      </x:c>
      <x:c r="F459" t="str">
        <x:v>継続契約</x:v>
      </x:c>
      <x:c r="G459" t="str">
        <x:v>導入・運用支援</x:v>
      </x:c>
      <x:c r="H459" s="16" t="n">
        <x:v>1389000</x:v>
      </x:c>
      <x:c r="I459" s="16" t="n">
        <x:v>224000</x:v>
      </x:c>
      <x:c r="J459" s="16" t="n">
        <x:v>142000</x:v>
      </x:c>
      <x:c r="K459" s="16" t="n">
        <x:v>41000</x:v>
      </x:c>
      <x:c r="L459" s="14" t="n">
        <x:f>SUM(I459:K459)</x:f>
        <x:v>407000</x:v>
      </x:c>
      <x:c r="M459" s="14" t="n">
        <x:f>H459-L459</x:f>
        <x:v>982000</x:v>
      </x:c>
    </x:row>
    <x:row r="460">
      <x:c r="A460" t="str">
        <x:v>T0459</x:v>
      </x:c>
      <x:c r="B460" t="n">
        <x:v>10</x:v>
      </x:c>
      <x:c r="C460" t="str">
        <x:v>C003</x:v>
      </x:c>
      <x:c r="D460" t="str">
        <x:v>IT</x:v>
      </x:c>
      <x:c r="E460" t="str">
        <x:v>Q4</x:v>
      </x:c>
      <x:c r="F460" t="str">
        <x:v>継続契約</x:v>
      </x:c>
      <x:c r="G460" t="str">
        <x:v>導入・運用支援</x:v>
      </x:c>
      <x:c r="H460" s="16" t="n">
        <x:v>1681000</x:v>
      </x:c>
      <x:c r="I460" s="16" t="n">
        <x:v>329000</x:v>
      </x:c>
      <x:c r="J460" s="16" t="n">
        <x:v>209000</x:v>
      </x:c>
      <x:c r="K460" s="16" t="n">
        <x:v>60000</x:v>
      </x:c>
      <x:c r="L460" s="14" t="n">
        <x:f>SUM(I460:K460)</x:f>
        <x:v>598000</x:v>
      </x:c>
      <x:c r="M460" s="14" t="n">
        <x:f>H460-L460</x:f>
        <x:v>1083000</x:v>
      </x:c>
    </x:row>
    <x:row r="461">
      <x:c r="A461" t="str">
        <x:v>T0460</x:v>
      </x:c>
      <x:c r="B461" t="n">
        <x:v>10</x:v>
      </x:c>
      <x:c r="C461" t="str">
        <x:v>C004</x:v>
      </x:c>
      <x:c r="D461" t="str">
        <x:v>IT</x:v>
      </x:c>
      <x:c r="E461" t="str">
        <x:v>Q4</x:v>
      </x:c>
      <x:c r="F461" t="str">
        <x:v>継続契約</x:v>
      </x:c>
      <x:c r="G461" t="str">
        <x:v>導入・運用支援</x:v>
      </x:c>
      <x:c r="H461" s="16" t="n">
        <x:v>720000</x:v>
      </x:c>
      <x:c r="I461" s="16" t="n">
        <x:v>157000</x:v>
      </x:c>
      <x:c r="J461" s="16" t="n">
        <x:v>100000</x:v>
      </x:c>
      <x:c r="K461" s="16" t="n">
        <x:v>28000</x:v>
      </x:c>
      <x:c r="L461" s="14" t="n">
        <x:f>SUM(I461:K461)</x:f>
        <x:v>285000</x:v>
      </x:c>
      <x:c r="M461" s="14" t="n">
        <x:f>H461-L461</x:f>
        <x:v>435000</x:v>
      </x:c>
    </x:row>
    <x:row r="462">
      <x:c r="A462" t="str">
        <x:v>T0461</x:v>
      </x:c>
      <x:c r="B462" t="n">
        <x:v>10</x:v>
      </x:c>
      <x:c r="C462" t="str">
        <x:v>C004</x:v>
      </x:c>
      <x:c r="D462" t="str">
        <x:v>IT</x:v>
      </x:c>
      <x:c r="E462" t="str">
        <x:v>Q4</x:v>
      </x:c>
      <x:c r="F462" t="str">
        <x:v>継続契約</x:v>
      </x:c>
      <x:c r="G462" t="str">
        <x:v>導入・運用支援</x:v>
      </x:c>
      <x:c r="H462" s="16" t="n">
        <x:v>843000</x:v>
      </x:c>
      <x:c r="I462" s="16" t="n">
        <x:v>167000</x:v>
      </x:c>
      <x:c r="J462" s="16" t="n">
        <x:v>106000</x:v>
      </x:c>
      <x:c r="K462" s="16" t="n">
        <x:v>31000</x:v>
      </x:c>
      <x:c r="L462" s="14" t="n">
        <x:f>SUM(I462:K462)</x:f>
        <x:v>304000</x:v>
      </x:c>
      <x:c r="M462" s="14" t="n">
        <x:f>H462-L462</x:f>
        <x:v>539000</x:v>
      </x:c>
    </x:row>
    <x:row r="463">
      <x:c r="A463" t="str">
        <x:v>T0462</x:v>
      </x:c>
      <x:c r="B463" t="n">
        <x:v>10</x:v>
      </x:c>
      <x:c r="C463" t="str">
        <x:v>C005</x:v>
      </x:c>
      <x:c r="D463" t="str">
        <x:v>IT</x:v>
      </x:c>
      <x:c r="E463" t="str">
        <x:v>Q4</x:v>
      </x:c>
      <x:c r="F463" t="str">
        <x:v>スポット中心</x:v>
      </x:c>
      <x:c r="G463" t="str">
        <x:v>導入・運用支援</x:v>
      </x:c>
      <x:c r="H463" s="16" t="n">
        <x:v>1543000</x:v>
      </x:c>
      <x:c r="I463" s="16" t="n">
        <x:v>345000</x:v>
      </x:c>
      <x:c r="J463" s="16" t="n">
        <x:v>220000</x:v>
      </x:c>
      <x:c r="K463" s="16" t="n">
        <x:v>63000</x:v>
      </x:c>
      <x:c r="L463" s="14" t="n">
        <x:f>SUM(I463:K463)</x:f>
        <x:v>628000</x:v>
      </x:c>
      <x:c r="M463" s="14" t="n">
        <x:f>H463-L463</x:f>
        <x:v>915000</x:v>
      </x:c>
    </x:row>
    <x:row r="464">
      <x:c r="A464" t="str">
        <x:v>T0463</x:v>
      </x:c>
      <x:c r="B464" t="n">
        <x:v>10</x:v>
      </x:c>
      <x:c r="C464" t="str">
        <x:v>C006</x:v>
      </x:c>
      <x:c r="D464" t="str">
        <x:v>IT</x:v>
      </x:c>
      <x:c r="E464" t="str">
        <x:v>Q4</x:v>
      </x:c>
      <x:c r="F464" t="str">
        <x:v>継続契約</x:v>
      </x:c>
      <x:c r="G464" t="str">
        <x:v>導入・運用支援</x:v>
      </x:c>
      <x:c r="H464" s="16" t="n">
        <x:v>1808000</x:v>
      </x:c>
      <x:c r="I464" s="16" t="n">
        <x:v>320000</x:v>
      </x:c>
      <x:c r="J464" s="16" t="n">
        <x:v>204000</x:v>
      </x:c>
      <x:c r="K464" s="16" t="n">
        <x:v>58000</x:v>
      </x:c>
      <x:c r="L464" s="14" t="n">
        <x:f>SUM(I464:K464)</x:f>
        <x:v>582000</x:v>
      </x:c>
      <x:c r="M464" s="14" t="n">
        <x:f>H464-L464</x:f>
        <x:v>1226000</x:v>
      </x:c>
    </x:row>
    <x:row r="465">
      <x:c r="A465" t="str">
        <x:v>T0464</x:v>
      </x:c>
      <x:c r="B465" t="n">
        <x:v>10</x:v>
      </x:c>
      <x:c r="C465" t="str">
        <x:v>C007</x:v>
      </x:c>
      <x:c r="D465" t="str">
        <x:v>IT</x:v>
      </x:c>
      <x:c r="E465" t="str">
        <x:v>Q4</x:v>
      </x:c>
      <x:c r="F465" t="str">
        <x:v>継続契約</x:v>
      </x:c>
      <x:c r="G465" t="str">
        <x:v>導入・運用支援</x:v>
      </x:c>
      <x:c r="H465" s="16" t="n">
        <x:v>1167000</x:v>
      </x:c>
      <x:c r="I465" s="16" t="n">
        <x:v>217000</x:v>
      </x:c>
      <x:c r="J465" s="16" t="n">
        <x:v>138000</x:v>
      </x:c>
      <x:c r="K465" s="16" t="n">
        <x:v>40000</x:v>
      </x:c>
      <x:c r="L465" s="14" t="n">
        <x:f>SUM(I465:K465)</x:f>
        <x:v>395000</x:v>
      </x:c>
      <x:c r="M465" s="14" t="n">
        <x:f>H465-L465</x:f>
        <x:v>772000</x:v>
      </x:c>
    </x:row>
    <x:row r="466">
      <x:c r="A466" t="str">
        <x:v>T0465</x:v>
      </x:c>
      <x:c r="B466" t="n">
        <x:v>10</x:v>
      </x:c>
      <x:c r="C466" t="str">
        <x:v>C008</x:v>
      </x:c>
      <x:c r="D466" t="str">
        <x:v>IT</x:v>
      </x:c>
      <x:c r="E466" t="str">
        <x:v>Q4</x:v>
      </x:c>
      <x:c r="F466" t="str">
        <x:v>継続契約</x:v>
      </x:c>
      <x:c r="G466" t="str">
        <x:v>導入・運用支援</x:v>
      </x:c>
      <x:c r="H466" s="16" t="n">
        <x:v>342000</x:v>
      </x:c>
      <x:c r="I466" s="16" t="n">
        <x:v>54000</x:v>
      </x:c>
      <x:c r="J466" s="16" t="n">
        <x:v>35000</x:v>
      </x:c>
      <x:c r="K466" s="16" t="n">
        <x:v>10000</x:v>
      </x:c>
      <x:c r="L466" s="14" t="n">
        <x:f>SUM(I466:K466)</x:f>
        <x:v>99000</x:v>
      </x:c>
      <x:c r="M466" s="14" t="n">
        <x:f>H466-L466</x:f>
        <x:v>243000</x:v>
      </x:c>
    </x:row>
    <x:row r="467">
      <x:c r="A467" t="str">
        <x:v>T0466</x:v>
      </x:c>
      <x:c r="B467" t="n">
        <x:v>10</x:v>
      </x:c>
      <x:c r="C467" t="str">
        <x:v>C008</x:v>
      </x:c>
      <x:c r="D467" t="str">
        <x:v>IT</x:v>
      </x:c>
      <x:c r="E467" t="str">
        <x:v>Q4</x:v>
      </x:c>
      <x:c r="F467" t="str">
        <x:v>継続契約</x:v>
      </x:c>
      <x:c r="G467" t="str">
        <x:v>導入・運用支援</x:v>
      </x:c>
      <x:c r="H467" s="16" t="n">
        <x:v>566000</x:v>
      </x:c>
      <x:c r="I467" s="16" t="n">
        <x:v>99000</x:v>
      </x:c>
      <x:c r="J467" s="16" t="n">
        <x:v>63000</x:v>
      </x:c>
      <x:c r="K467" s="16" t="n">
        <x:v>18000</x:v>
      </x:c>
      <x:c r="L467" s="14" t="n">
        <x:f>SUM(I467:K467)</x:f>
        <x:v>180000</x:v>
      </x:c>
      <x:c r="M467" s="14" t="n">
        <x:f>H467-L467</x:f>
        <x:v>386000</x:v>
      </x:c>
    </x:row>
    <x:row r="468">
      <x:c r="A468" t="str">
        <x:v>T0467</x:v>
      </x:c>
      <x:c r="B468" t="n">
        <x:v>10</x:v>
      </x:c>
      <x:c r="C468" t="str">
        <x:v>C009</x:v>
      </x:c>
      <x:c r="D468" t="str">
        <x:v>IT</x:v>
      </x:c>
      <x:c r="E468" t="str">
        <x:v>Q4</x:v>
      </x:c>
      <x:c r="F468" t="str">
        <x:v>継続契約</x:v>
      </x:c>
      <x:c r="G468" t="str">
        <x:v>導入・運用支援</x:v>
      </x:c>
      <x:c r="H468" s="16" t="n">
        <x:v>1555000</x:v>
      </x:c>
      <x:c r="I468" s="16" t="n">
        <x:v>323000</x:v>
      </x:c>
      <x:c r="J468" s="16" t="n">
        <x:v>206000</x:v>
      </x:c>
      <x:c r="K468" s="16" t="n">
        <x:v>59000</x:v>
      </x:c>
      <x:c r="L468" s="14" t="n">
        <x:f>SUM(I468:K468)</x:f>
        <x:v>588000</x:v>
      </x:c>
      <x:c r="M468" s="14" t="n">
        <x:f>H468-L468</x:f>
        <x:v>967000</x:v>
      </x:c>
    </x:row>
    <x:row r="469">
      <x:c r="A469" t="str">
        <x:v>T0468</x:v>
      </x:c>
      <x:c r="B469" t="n">
        <x:v>10</x:v>
      </x:c>
      <x:c r="C469" t="str">
        <x:v>C010</x:v>
      </x:c>
      <x:c r="D469" t="str">
        <x:v>IT</x:v>
      </x:c>
      <x:c r="E469" t="str">
        <x:v>Q4</x:v>
      </x:c>
      <x:c r="F469" t="str">
        <x:v>スポット中心</x:v>
      </x:c>
      <x:c r="G469" t="str">
        <x:v>導入・運用支援</x:v>
      </x:c>
      <x:c r="H469" s="16" t="n">
        <x:v>1589000</x:v>
      </x:c>
      <x:c r="I469" s="16" t="n">
        <x:v>277000</x:v>
      </x:c>
      <x:c r="J469" s="16" t="n">
        <x:v>176000</x:v>
      </x:c>
      <x:c r="K469" s="16" t="n">
        <x:v>51000</x:v>
      </x:c>
      <x:c r="L469" s="14" t="n">
        <x:f>SUM(I469:K469)</x:f>
        <x:v>504000</x:v>
      </x:c>
      <x:c r="M469" s="14" t="n">
        <x:f>H469-L469</x:f>
        <x:v>1085000</x:v>
      </x:c>
    </x:row>
    <x:row r="470">
      <x:c r="A470" t="str">
        <x:v>T0469</x:v>
      </x:c>
      <x:c r="B470" t="n">
        <x:v>10</x:v>
      </x:c>
      <x:c r="C470" t="str">
        <x:v>C011</x:v>
      </x:c>
      <x:c r="D470" t="str">
        <x:v>IT</x:v>
      </x:c>
      <x:c r="E470" t="str">
        <x:v>Q4</x:v>
      </x:c>
      <x:c r="F470" t="str">
        <x:v>継続契約</x:v>
      </x:c>
      <x:c r="G470" t="str">
        <x:v>導入・運用支援</x:v>
      </x:c>
      <x:c r="H470" s="16" t="n">
        <x:v>567000</x:v>
      </x:c>
      <x:c r="I470" s="16" t="n">
        <x:v>117000</x:v>
      </x:c>
      <x:c r="J470" s="16" t="n">
        <x:v>74000</x:v>
      </x:c>
      <x:c r="K470" s="16" t="n">
        <x:v>21000</x:v>
      </x:c>
      <x:c r="L470" s="14" t="n">
        <x:f>SUM(I470:K470)</x:f>
        <x:v>212000</x:v>
      </x:c>
      <x:c r="M470" s="14" t="n">
        <x:f>H470-L470</x:f>
        <x:v>355000</x:v>
      </x:c>
    </x:row>
    <x:row r="471">
      <x:c r="A471" t="str">
        <x:v>T0470</x:v>
      </x:c>
      <x:c r="B471" t="n">
        <x:v>10</x:v>
      </x:c>
      <x:c r="C471" t="str">
        <x:v>C011</x:v>
      </x:c>
      <x:c r="D471" t="str">
        <x:v>IT</x:v>
      </x:c>
      <x:c r="E471" t="str">
        <x:v>Q4</x:v>
      </x:c>
      <x:c r="F471" t="str">
        <x:v>継続契約</x:v>
      </x:c>
      <x:c r="G471" t="str">
        <x:v>導入・運用支援</x:v>
      </x:c>
      <x:c r="H471" s="16" t="n">
        <x:v>910000</x:v>
      </x:c>
      <x:c r="I471" s="16" t="n">
        <x:v>188000</x:v>
      </x:c>
      <x:c r="J471" s="16" t="n">
        <x:v>119000</x:v>
      </x:c>
      <x:c r="K471" s="16" t="n">
        <x:v>34000</x:v>
      </x:c>
      <x:c r="L471" s="14" t="n">
        <x:f>SUM(I471:K471)</x:f>
        <x:v>341000</x:v>
      </x:c>
      <x:c r="M471" s="14" t="n">
        <x:f>H471-L471</x:f>
        <x:v>569000</x:v>
      </x:c>
    </x:row>
    <x:row r="472">
      <x:c r="A472" t="str">
        <x:v>T0471</x:v>
      </x:c>
      <x:c r="B472" t="n">
        <x:v>10</x:v>
      </x:c>
      <x:c r="C472" t="str">
        <x:v>C012</x:v>
      </x:c>
      <x:c r="D472" t="str">
        <x:v>IT</x:v>
      </x:c>
      <x:c r="E472" t="str">
        <x:v>Q4</x:v>
      </x:c>
      <x:c r="F472" t="str">
        <x:v>継続契約</x:v>
      </x:c>
      <x:c r="G472" t="str">
        <x:v>導入・運用支援</x:v>
      </x:c>
      <x:c r="H472" s="16" t="n">
        <x:v>1052000</x:v>
      </x:c>
      <x:c r="I472" s="16" t="n">
        <x:v>173000</x:v>
      </x:c>
      <x:c r="J472" s="16" t="n">
        <x:v>110000</x:v>
      </x:c>
      <x:c r="K472" s="16" t="n">
        <x:v>32000</x:v>
      </x:c>
      <x:c r="L472" s="14" t="n">
        <x:f>SUM(I472:K472)</x:f>
        <x:v>315000</x:v>
      </x:c>
      <x:c r="M472" s="14" t="n">
        <x:f>H472-L472</x:f>
        <x:v>737000</x:v>
      </x:c>
    </x:row>
    <x:row r="473">
      <x:c r="A473" t="str">
        <x:v>T0472</x:v>
      </x:c>
      <x:c r="B473" t="n">
        <x:v>10</x:v>
      </x:c>
      <x:c r="C473" t="str">
        <x:v>C013</x:v>
      </x:c>
      <x:c r="D473" t="str">
        <x:v>IT</x:v>
      </x:c>
      <x:c r="E473" t="str">
        <x:v>Q4</x:v>
      </x:c>
      <x:c r="F473" t="str">
        <x:v>継続契約</x:v>
      </x:c>
      <x:c r="G473" t="str">
        <x:v>導入・運用支援</x:v>
      </x:c>
      <x:c r="H473" s="16" t="n">
        <x:v>598000</x:v>
      </x:c>
      <x:c r="I473" s="16" t="n">
        <x:v>115000</x:v>
      </x:c>
      <x:c r="J473" s="16" t="n">
        <x:v>73000</x:v>
      </x:c>
      <x:c r="K473" s="16" t="n">
        <x:v>21000</x:v>
      </x:c>
      <x:c r="L473" s="14" t="n">
        <x:f>SUM(I473:K473)</x:f>
        <x:v>209000</x:v>
      </x:c>
      <x:c r="M473" s="14" t="n">
        <x:f>H473-L473</x:f>
        <x:v>389000</x:v>
      </x:c>
    </x:row>
    <x:row r="474">
      <x:c r="A474" t="str">
        <x:v>T0473</x:v>
      </x:c>
      <x:c r="B474" t="n">
        <x:v>10</x:v>
      </x:c>
      <x:c r="C474" t="str">
        <x:v>C013</x:v>
      </x:c>
      <x:c r="D474" t="str">
        <x:v>IT</x:v>
      </x:c>
      <x:c r="E474" t="str">
        <x:v>Q4</x:v>
      </x:c>
      <x:c r="F474" t="str">
        <x:v>継続契約</x:v>
      </x:c>
      <x:c r="G474" t="str">
        <x:v>導入・運用支援</x:v>
      </x:c>
      <x:c r="H474" s="16" t="n">
        <x:v>596000</x:v>
      </x:c>
      <x:c r="I474" s="16" t="n">
        <x:v>118000</x:v>
      </x:c>
      <x:c r="J474" s="16" t="n">
        <x:v>75000</x:v>
      </x:c>
      <x:c r="K474" s="16" t="n">
        <x:v>22000</x:v>
      </x:c>
      <x:c r="L474" s="14" t="n">
        <x:f>SUM(I474:K474)</x:f>
        <x:v>215000</x:v>
      </x:c>
      <x:c r="M474" s="14" t="n">
        <x:f>H474-L474</x:f>
        <x:v>381000</x:v>
      </x:c>
    </x:row>
    <x:row r="475">
      <x:c r="A475" t="str">
        <x:v>T0474</x:v>
      </x:c>
      <x:c r="B475" t="n">
        <x:v>10</x:v>
      </x:c>
      <x:c r="C475" t="str">
        <x:v>C014</x:v>
      </x:c>
      <x:c r="D475" t="str">
        <x:v>IT</x:v>
      </x:c>
      <x:c r="E475" t="str">
        <x:v>Q4</x:v>
      </x:c>
      <x:c r="F475" t="str">
        <x:v>継続契約</x:v>
      </x:c>
      <x:c r="G475" t="str">
        <x:v>導入・運用支援</x:v>
      </x:c>
      <x:c r="H475" s="16" t="n">
        <x:v>1674000</x:v>
      </x:c>
      <x:c r="I475" s="16" t="n">
        <x:v>329000</x:v>
      </x:c>
      <x:c r="J475" s="16" t="n">
        <x:v>209000</x:v>
      </x:c>
      <x:c r="K475" s="16" t="n">
        <x:v>60000</x:v>
      </x:c>
      <x:c r="L475" s="14" t="n">
        <x:f>SUM(I475:K475)</x:f>
        <x:v>598000</x:v>
      </x:c>
      <x:c r="M475" s="14" t="n">
        <x:f>H475-L475</x:f>
        <x:v>1076000</x:v>
      </x:c>
    </x:row>
    <x:row r="476">
      <x:c r="A476" t="str">
        <x:v>T0475</x:v>
      </x:c>
      <x:c r="B476" t="n">
        <x:v>10</x:v>
      </x:c>
      <x:c r="C476" t="str">
        <x:v>C015</x:v>
      </x:c>
      <x:c r="D476" t="str">
        <x:v>IT</x:v>
      </x:c>
      <x:c r="E476" t="str">
        <x:v>Q4</x:v>
      </x:c>
      <x:c r="F476" t="str">
        <x:v>スポット中心</x:v>
      </x:c>
      <x:c r="G476" t="str">
        <x:v>導入・運用支援</x:v>
      </x:c>
      <x:c r="H476" s="16" t="n">
        <x:v>1804000</x:v>
      </x:c>
      <x:c r="I476" s="16" t="n">
        <x:v>391000</x:v>
      </x:c>
      <x:c r="J476" s="16" t="n">
        <x:v>249000</x:v>
      </x:c>
      <x:c r="K476" s="16" t="n">
        <x:v>71000</x:v>
      </x:c>
      <x:c r="L476" s="14" t="n">
        <x:f>SUM(I476:K476)</x:f>
        <x:v>711000</x:v>
      </x:c>
      <x:c r="M476" s="14" t="n">
        <x:f>H476-L476</x:f>
        <x:v>1093000</x:v>
      </x:c>
    </x:row>
    <x:row r="477">
      <x:c r="A477" t="str">
        <x:v>T0476</x:v>
      </x:c>
      <x:c r="B477" t="n">
        <x:v>10</x:v>
      </x:c>
      <x:c r="C477" t="str">
        <x:v>C016</x:v>
      </x:c>
      <x:c r="D477" t="str">
        <x:v>IT</x:v>
      </x:c>
      <x:c r="E477" t="str">
        <x:v>Q4</x:v>
      </x:c>
      <x:c r="F477" t="str">
        <x:v>継続契約</x:v>
      </x:c>
      <x:c r="G477" t="str">
        <x:v>導入・運用支援</x:v>
      </x:c>
      <x:c r="H477" s="16" t="n">
        <x:v>936000</x:v>
      </x:c>
      <x:c r="I477" s="16" t="n">
        <x:v>171000</x:v>
      </x:c>
      <x:c r="J477" s="16" t="n">
        <x:v>109000</x:v>
      </x:c>
      <x:c r="K477" s="16" t="n">
        <x:v>31000</x:v>
      </x:c>
      <x:c r="L477" s="14" t="n">
        <x:f>SUM(I477:K477)</x:f>
        <x:v>311000</x:v>
      </x:c>
      <x:c r="M477" s="14" t="n">
        <x:f>H477-L477</x:f>
        <x:v>625000</x:v>
      </x:c>
    </x:row>
    <x:row r="478">
      <x:c r="A478" t="str">
        <x:v>T0477</x:v>
      </x:c>
      <x:c r="B478" t="n">
        <x:v>10</x:v>
      </x:c>
      <x:c r="C478" t="str">
        <x:v>C016</x:v>
      </x:c>
      <x:c r="D478" t="str">
        <x:v>IT</x:v>
      </x:c>
      <x:c r="E478" t="str">
        <x:v>Q4</x:v>
      </x:c>
      <x:c r="F478" t="str">
        <x:v>継続契約</x:v>
      </x:c>
      <x:c r="G478" t="str">
        <x:v>導入・運用支援</x:v>
      </x:c>
      <x:c r="H478" s="16" t="n">
        <x:v>611000</x:v>
      </x:c>
      <x:c r="I478" s="16" t="n">
        <x:v>127000</x:v>
      </x:c>
      <x:c r="J478" s="16" t="n">
        <x:v>81000</x:v>
      </x:c>
      <x:c r="K478" s="16" t="n">
        <x:v>23000</x:v>
      </x:c>
      <x:c r="L478" s="14" t="n">
        <x:f>SUM(I478:K478)</x:f>
        <x:v>231000</x:v>
      </x:c>
      <x:c r="M478" s="14" t="n">
        <x:f>H478-L478</x:f>
        <x:v>380000</x:v>
      </x:c>
    </x:row>
    <x:row r="479">
      <x:c r="A479" t="str">
        <x:v>T0478</x:v>
      </x:c>
      <x:c r="B479" t="n">
        <x:v>10</x:v>
      </x:c>
      <x:c r="C479" t="str">
        <x:v>C017</x:v>
      </x:c>
      <x:c r="D479" t="str">
        <x:v>IT</x:v>
      </x:c>
      <x:c r="E479" t="str">
        <x:v>Q4</x:v>
      </x:c>
      <x:c r="F479" t="str">
        <x:v>継続契約</x:v>
      </x:c>
      <x:c r="G479" t="str">
        <x:v>導入・運用支援</x:v>
      </x:c>
      <x:c r="H479" s="16" t="n">
        <x:v>1342000</x:v>
      </x:c>
      <x:c r="I479" s="16" t="n">
        <x:v>280000</x:v>
      </x:c>
      <x:c r="J479" s="16" t="n">
        <x:v>178000</x:v>
      </x:c>
      <x:c r="K479" s="16" t="n">
        <x:v>51000</x:v>
      </x:c>
      <x:c r="L479" s="14" t="n">
        <x:f>SUM(I479:K479)</x:f>
        <x:v>509000</x:v>
      </x:c>
      <x:c r="M479" s="14" t="n">
        <x:f>H479-L479</x:f>
        <x:v>833000</x:v>
      </x:c>
    </x:row>
    <x:row r="480">
      <x:c r="A480" t="str">
        <x:v>T0479</x:v>
      </x:c>
      <x:c r="B480" t="n">
        <x:v>10</x:v>
      </x:c>
      <x:c r="C480" t="str">
        <x:v>C018</x:v>
      </x:c>
      <x:c r="D480" t="str">
        <x:v>IT</x:v>
      </x:c>
      <x:c r="E480" t="str">
        <x:v>Q4</x:v>
      </x:c>
      <x:c r="F480" t="str">
        <x:v>継続契約</x:v>
      </x:c>
      <x:c r="G480" t="str">
        <x:v>導入・運用支援</x:v>
      </x:c>
      <x:c r="H480" s="16" t="n">
        <x:v>1786000</x:v>
      </x:c>
      <x:c r="I480" s="16" t="n">
        <x:v>341000</x:v>
      </x:c>
      <x:c r="J480" s="16" t="n">
        <x:v>217000</x:v>
      </x:c>
      <x:c r="K480" s="16" t="n">
        <x:v>62000</x:v>
      </x:c>
      <x:c r="L480" s="14" t="n">
        <x:f>SUM(I480:K480)</x:f>
        <x:v>620000</x:v>
      </x:c>
      <x:c r="M480" s="14" t="n">
        <x:f>H480-L480</x:f>
        <x:v>1166000</x:v>
      </x:c>
    </x:row>
    <x:row r="481">
      <x:c r="A481" t="str">
        <x:v>T0480</x:v>
      </x:c>
      <x:c r="B481" t="n">
        <x:v>10</x:v>
      </x:c>
      <x:c r="C481" t="str">
        <x:v>C019</x:v>
      </x:c>
      <x:c r="D481" t="str">
        <x:v>BPO</x:v>
      </x:c>
      <x:c r="E481" t="str">
        <x:v>Q4</x:v>
      </x:c>
      <x:c r="F481" t="str">
        <x:v>継続契約</x:v>
      </x:c>
      <x:c r="G481" t="str">
        <x:v>業務運用代行</x:v>
      </x:c>
      <x:c r="H481" s="16" t="n">
        <x:v>3807000</x:v>
      </x:c>
      <x:c r="I481" s="16" t="n">
        <x:v>1115000</x:v>
      </x:c>
      <x:c r="J481" s="16" t="n">
        <x:v>191000</x:v>
      </x:c>
      <x:c r="K481" s="16" t="n">
        <x:v>161000</x:v>
      </x:c>
      <x:c r="L481" s="14" t="n">
        <x:f>SUM(I481:K481)</x:f>
        <x:v>1467000</x:v>
      </x:c>
      <x:c r="M481" s="14" t="n">
        <x:f>H481-L481</x:f>
        <x:v>2340000</x:v>
      </x:c>
    </x:row>
    <x:row r="482">
      <x:c r="A482" t="str">
        <x:v>T0481</x:v>
      </x:c>
      <x:c r="B482" t="n">
        <x:v>10</x:v>
      </x:c>
      <x:c r="C482" t="str">
        <x:v>C020</x:v>
      </x:c>
      <x:c r="D482" t="str">
        <x:v>BPO</x:v>
      </x:c>
      <x:c r="E482" t="str">
        <x:v>Q4</x:v>
      </x:c>
      <x:c r="F482" t="str">
        <x:v>継続契約</x:v>
      </x:c>
      <x:c r="G482" t="str">
        <x:v>業務運用代行</x:v>
      </x:c>
      <x:c r="H482" s="16" t="n">
        <x:v>2551000</x:v>
      </x:c>
      <x:c r="I482" s="16" t="n">
        <x:v>806000</x:v>
      </x:c>
      <x:c r="J482" s="16" t="n">
        <x:v>138000</x:v>
      </x:c>
      <x:c r="K482" s="16" t="n">
        <x:v>116000</x:v>
      </x:c>
      <x:c r="L482" s="14" t="n">
        <x:f>SUM(I482:K482)</x:f>
        <x:v>1060000</x:v>
      </x:c>
      <x:c r="M482" s="14" t="n">
        <x:f>H482-L482</x:f>
        <x:v>1491000</x:v>
      </x:c>
    </x:row>
    <x:row r="483">
      <x:c r="A483" t="str">
        <x:v>T0482</x:v>
      </x:c>
      <x:c r="B483" t="n">
        <x:v>10</x:v>
      </x:c>
      <x:c r="C483" t="str">
        <x:v>C021</x:v>
      </x:c>
      <x:c r="D483" t="str">
        <x:v>BPO</x:v>
      </x:c>
      <x:c r="E483" t="str">
        <x:v>Q4</x:v>
      </x:c>
      <x:c r="F483" t="str">
        <x:v>継続契約</x:v>
      </x:c>
      <x:c r="G483" t="str">
        <x:v>業務運用代行</x:v>
      </x:c>
      <x:c r="H483" s="16" t="n">
        <x:v>692000</x:v>
      </x:c>
      <x:c r="I483" s="16" t="n">
        <x:v>191000</x:v>
      </x:c>
      <x:c r="J483" s="16" t="n">
        <x:v>33000</x:v>
      </x:c>
      <x:c r="K483" s="16" t="n">
        <x:v>27000</x:v>
      </x:c>
      <x:c r="L483" s="14" t="n">
        <x:f>SUM(I483:K483)</x:f>
        <x:v>251000</x:v>
      </x:c>
      <x:c r="M483" s="14" t="n">
        <x:f>H483-L483</x:f>
        <x:v>441000</x:v>
      </x:c>
    </x:row>
    <x:row r="484">
      <x:c r="A484" t="str">
        <x:v>T0483</x:v>
      </x:c>
      <x:c r="B484" t="n">
        <x:v>10</x:v>
      </x:c>
      <x:c r="C484" t="str">
        <x:v>C021</x:v>
      </x:c>
      <x:c r="D484" t="str">
        <x:v>BPO</x:v>
      </x:c>
      <x:c r="E484" t="str">
        <x:v>Q4</x:v>
      </x:c>
      <x:c r="F484" t="str">
        <x:v>継続契約</x:v>
      </x:c>
      <x:c r="G484" t="str">
        <x:v>業務運用代行</x:v>
      </x:c>
      <x:c r="H484" s="16" t="n">
        <x:v>621000</x:v>
      </x:c>
      <x:c r="I484" s="16" t="n">
        <x:v>177000</x:v>
      </x:c>
      <x:c r="J484" s="16" t="n">
        <x:v>30000</x:v>
      </x:c>
      <x:c r="K484" s="16" t="n">
        <x:v>26000</x:v>
      </x:c>
      <x:c r="L484" s="14" t="n">
        <x:f>SUM(I484:K484)</x:f>
        <x:v>233000</x:v>
      </x:c>
      <x:c r="M484" s="14" t="n">
        <x:f>H484-L484</x:f>
        <x:v>388000</x:v>
      </x:c>
    </x:row>
    <x:row r="485">
      <x:c r="A485" t="str">
        <x:v>T0484</x:v>
      </x:c>
      <x:c r="B485" t="n">
        <x:v>10</x:v>
      </x:c>
      <x:c r="C485" t="str">
        <x:v>C022</x:v>
      </x:c>
      <x:c r="D485" t="str">
        <x:v>BPO</x:v>
      </x:c>
      <x:c r="E485" t="str">
        <x:v>Q4</x:v>
      </x:c>
      <x:c r="F485" t="str">
        <x:v>継続契約</x:v>
      </x:c>
      <x:c r="G485" t="str">
        <x:v>業務運用代行</x:v>
      </x:c>
      <x:c r="H485" s="16" t="n">
        <x:v>396000</x:v>
      </x:c>
      <x:c r="I485" s="16" t="n">
        <x:v>109000</x:v>
      </x:c>
      <x:c r="J485" s="16" t="n">
        <x:v>19000</x:v>
      </x:c>
      <x:c r="K485" s="16" t="n">
        <x:v>16000</x:v>
      </x:c>
      <x:c r="L485" s="14" t="n">
        <x:f>SUM(I485:K485)</x:f>
        <x:v>144000</x:v>
      </x:c>
      <x:c r="M485" s="14" t="n">
        <x:f>H485-L485</x:f>
        <x:v>252000</x:v>
      </x:c>
    </x:row>
    <x:row r="486">
      <x:c r="A486" t="str">
        <x:v>T0485</x:v>
      </x:c>
      <x:c r="B486" t="n">
        <x:v>10</x:v>
      </x:c>
      <x:c r="C486" t="str">
        <x:v>C022</x:v>
      </x:c>
      <x:c r="D486" t="str">
        <x:v>BPO</x:v>
      </x:c>
      <x:c r="E486" t="str">
        <x:v>Q4</x:v>
      </x:c>
      <x:c r="F486" t="str">
        <x:v>継続契約</x:v>
      </x:c>
      <x:c r="G486" t="str">
        <x:v>業務運用代行</x:v>
      </x:c>
      <x:c r="H486" s="16" t="n">
        <x:v>555000</x:v>
      </x:c>
      <x:c r="I486" s="16" t="n">
        <x:v>178000</x:v>
      </x:c>
      <x:c r="J486" s="16" t="n">
        <x:v>30000</x:v>
      </x:c>
      <x:c r="K486" s="16" t="n">
        <x:v>26000</x:v>
      </x:c>
      <x:c r="L486" s="14" t="n">
        <x:f>SUM(I486:K486)</x:f>
        <x:v>234000</x:v>
      </x:c>
      <x:c r="M486" s="14" t="n">
        <x:f>H486-L486</x:f>
        <x:v>321000</x:v>
      </x:c>
    </x:row>
    <x:row r="487">
      <x:c r="A487" t="str">
        <x:v>T0486</x:v>
      </x:c>
      <x:c r="B487" t="n">
        <x:v>10</x:v>
      </x:c>
      <x:c r="C487" t="str">
        <x:v>C023</x:v>
      </x:c>
      <x:c r="D487" t="str">
        <x:v>BPO</x:v>
      </x:c>
      <x:c r="E487" t="str">
        <x:v>Q4</x:v>
      </x:c>
      <x:c r="F487" t="str">
        <x:v>継続契約</x:v>
      </x:c>
      <x:c r="G487" t="str">
        <x:v>業務運用代行</x:v>
      </x:c>
      <x:c r="H487" s="16" t="n">
        <x:v>1541000</x:v>
      </x:c>
      <x:c r="I487" s="16" t="n">
        <x:v>468000</x:v>
      </x:c>
      <x:c r="J487" s="16" t="n">
        <x:v>80000</x:v>
      </x:c>
      <x:c r="K487" s="16" t="n">
        <x:v>68000</x:v>
      </x:c>
      <x:c r="L487" s="14" t="n">
        <x:f>SUM(I487:K487)</x:f>
        <x:v>616000</x:v>
      </x:c>
      <x:c r="M487" s="14" t="n">
        <x:f>H487-L487</x:f>
        <x:v>925000</x:v>
      </x:c>
    </x:row>
    <x:row r="488">
      <x:c r="A488" t="str">
        <x:v>T0487</x:v>
      </x:c>
      <x:c r="B488" t="n">
        <x:v>10</x:v>
      </x:c>
      <x:c r="C488" t="str">
        <x:v>C024</x:v>
      </x:c>
      <x:c r="D488" t="str">
        <x:v>BPO</x:v>
      </x:c>
      <x:c r="E488" t="str">
        <x:v>Q4</x:v>
      </x:c>
      <x:c r="F488" t="str">
        <x:v>継続契約</x:v>
      </x:c>
      <x:c r="G488" t="str">
        <x:v>業務運用代行</x:v>
      </x:c>
      <x:c r="H488" s="16" t="n">
        <x:v>1447000</x:v>
      </x:c>
      <x:c r="I488" s="16" t="n">
        <x:v>410000</x:v>
      </x:c>
      <x:c r="J488" s="16" t="n">
        <x:v>70000</x:v>
      </x:c>
      <x:c r="K488" s="16" t="n">
        <x:v>60000</x:v>
      </x:c>
      <x:c r="L488" s="14" t="n">
        <x:f>SUM(I488:K488)</x:f>
        <x:v>540000</x:v>
      </x:c>
      <x:c r="M488" s="14" t="n">
        <x:f>H488-L488</x:f>
        <x:v>907000</x:v>
      </x:c>
    </x:row>
    <x:row r="489">
      <x:c r="A489" t="str">
        <x:v>T0488</x:v>
      </x:c>
      <x:c r="B489" t="n">
        <x:v>10</x:v>
      </x:c>
      <x:c r="C489" t="str">
        <x:v>C025</x:v>
      </x:c>
      <x:c r="D489" t="str">
        <x:v>BPO</x:v>
      </x:c>
      <x:c r="E489" t="str">
        <x:v>Q4</x:v>
      </x:c>
      <x:c r="F489" t="str">
        <x:v>継続契約</x:v>
      </x:c>
      <x:c r="G489" t="str">
        <x:v>業務運用代行</x:v>
      </x:c>
      <x:c r="H489" s="16" t="n">
        <x:v>1046000</x:v>
      </x:c>
      <x:c r="I489" s="16" t="n">
        <x:v>282000</x:v>
      </x:c>
      <x:c r="J489" s="16" t="n">
        <x:v>48000</x:v>
      </x:c>
      <x:c r="K489" s="16" t="n">
        <x:v>41000</x:v>
      </x:c>
      <x:c r="L489" s="14" t="n">
        <x:f>SUM(I489:K489)</x:f>
        <x:v>371000</x:v>
      </x:c>
      <x:c r="M489" s="14" t="n">
        <x:f>H489-L489</x:f>
        <x:v>675000</x:v>
      </x:c>
    </x:row>
    <x:row r="490">
      <x:c r="A490" t="str">
        <x:v>T0489</x:v>
      </x:c>
      <x:c r="B490" t="n">
        <x:v>10</x:v>
      </x:c>
      <x:c r="C490" t="str">
        <x:v>C027</x:v>
      </x:c>
      <x:c r="D490" t="str">
        <x:v>BPO</x:v>
      </x:c>
      <x:c r="E490" t="str">
        <x:v>Q4</x:v>
      </x:c>
      <x:c r="F490" t="str">
        <x:v>継続契約</x:v>
      </x:c>
      <x:c r="G490" t="str">
        <x:v>業務運用代行</x:v>
      </x:c>
      <x:c r="H490" s="16" t="n">
        <x:v>509000</x:v>
      </x:c>
      <x:c r="I490" s="16" t="n">
        <x:v>164000</x:v>
      </x:c>
      <x:c r="J490" s="16" t="n">
        <x:v>28000</x:v>
      </x:c>
      <x:c r="K490" s="16" t="n">
        <x:v>24000</x:v>
      </x:c>
      <x:c r="L490" s="14" t="n">
        <x:f>SUM(I490:K490)</x:f>
        <x:v>216000</x:v>
      </x:c>
      <x:c r="M490" s="14" t="n">
        <x:f>H490-L490</x:f>
        <x:v>293000</x:v>
      </x:c>
    </x:row>
    <x:row r="491">
      <x:c r="A491" t="str">
        <x:v>T0490</x:v>
      </x:c>
      <x:c r="B491" t="n">
        <x:v>10</x:v>
      </x:c>
      <x:c r="C491" t="str">
        <x:v>C027</x:v>
      </x:c>
      <x:c r="D491" t="str">
        <x:v>BPO</x:v>
      </x:c>
      <x:c r="E491" t="str">
        <x:v>Q4</x:v>
      </x:c>
      <x:c r="F491" t="str">
        <x:v>継続契約</x:v>
      </x:c>
      <x:c r="G491" t="str">
        <x:v>業務運用代行</x:v>
      </x:c>
      <x:c r="H491" s="16" t="n">
        <x:v>707000</x:v>
      </x:c>
      <x:c r="I491" s="16" t="n">
        <x:v>188000</x:v>
      </x:c>
      <x:c r="J491" s="16" t="n">
        <x:v>32000</x:v>
      </x:c>
      <x:c r="K491" s="16" t="n">
        <x:v>28000</x:v>
      </x:c>
      <x:c r="L491" s="14" t="n">
        <x:f>SUM(I491:K491)</x:f>
        <x:v>248000</x:v>
      </x:c>
      <x:c r="M491" s="14" t="n">
        <x:f>H491-L491</x:f>
        <x:v>459000</x:v>
      </x:c>
    </x:row>
    <x:row r="492">
      <x:c r="A492" t="str">
        <x:v>T0491</x:v>
      </x:c>
      <x:c r="B492" t="n">
        <x:v>10</x:v>
      </x:c>
      <x:c r="C492" t="str">
        <x:v>C028</x:v>
      </x:c>
      <x:c r="D492" t="str">
        <x:v>BPO</x:v>
      </x:c>
      <x:c r="E492" t="str">
        <x:v>Q4</x:v>
      </x:c>
      <x:c r="F492" t="str">
        <x:v>継続契約</x:v>
      </x:c>
      <x:c r="G492" t="str">
        <x:v>業務運用代行</x:v>
      </x:c>
      <x:c r="H492" s="16" t="n">
        <x:v>1189000</x:v>
      </x:c>
      <x:c r="I492" s="16" t="n">
        <x:v>339000</x:v>
      </x:c>
      <x:c r="J492" s="16" t="n">
        <x:v>58000</x:v>
      </x:c>
      <x:c r="K492" s="16" t="n">
        <x:v>49000</x:v>
      </x:c>
      <x:c r="L492" s="14" t="n">
        <x:f>SUM(I492:K492)</x:f>
        <x:v>446000</x:v>
      </x:c>
      <x:c r="M492" s="14" t="n">
        <x:f>H492-L492</x:f>
        <x:v>743000</x:v>
      </x:c>
    </x:row>
    <x:row r="493">
      <x:c r="A493" t="str">
        <x:v>T0492</x:v>
      </x:c>
      <x:c r="B493" t="n">
        <x:v>10</x:v>
      </x:c>
      <x:c r="C493" t="str">
        <x:v>C029</x:v>
      </x:c>
      <x:c r="D493" t="str">
        <x:v>BPO</x:v>
      </x:c>
      <x:c r="E493" t="str">
        <x:v>Q4</x:v>
      </x:c>
      <x:c r="F493" t="str">
        <x:v>継続契約</x:v>
      </x:c>
      <x:c r="G493" t="str">
        <x:v>業務運用代行</x:v>
      </x:c>
      <x:c r="H493" s="16" t="n">
        <x:v>1526000</x:v>
      </x:c>
      <x:c r="I493" s="16" t="n">
        <x:v>446000</x:v>
      </x:c>
      <x:c r="J493" s="16" t="n">
        <x:v>76000</x:v>
      </x:c>
      <x:c r="K493" s="16" t="n">
        <x:v>65000</x:v>
      </x:c>
      <x:c r="L493" s="14" t="n">
        <x:f>SUM(I493:K493)</x:f>
        <x:v>587000</x:v>
      </x:c>
      <x:c r="M493" s="14" t="n">
        <x:f>H493-L493</x:f>
        <x:v>939000</x:v>
      </x:c>
    </x:row>
    <x:row r="494">
      <x:c r="A494" t="str">
        <x:v>T0493</x:v>
      </x:c>
      <x:c r="B494" t="n">
        <x:v>10</x:v>
      </x:c>
      <x:c r="C494" t="str">
        <x:v>C030</x:v>
      </x:c>
      <x:c r="D494" t="str">
        <x:v>BPO</x:v>
      </x:c>
      <x:c r="E494" t="str">
        <x:v>Q4</x:v>
      </x:c>
      <x:c r="F494" t="str">
        <x:v>継続契約</x:v>
      </x:c>
      <x:c r="G494" t="str">
        <x:v>業務運用代行</x:v>
      </x:c>
      <x:c r="H494" s="16" t="n">
        <x:v>1440000</x:v>
      </x:c>
      <x:c r="I494" s="16" t="n">
        <x:v>439000</x:v>
      </x:c>
      <x:c r="J494" s="16" t="n">
        <x:v>75000</x:v>
      </x:c>
      <x:c r="K494" s="16" t="n">
        <x:v>63000</x:v>
      </x:c>
      <x:c r="L494" s="14" t="n">
        <x:f>SUM(I494:K494)</x:f>
        <x:v>577000</x:v>
      </x:c>
      <x:c r="M494" s="14" t="n">
        <x:f>H494-L494</x:f>
        <x:v>863000</x:v>
      </x:c>
    </x:row>
    <x:row r="495">
      <x:c r="A495" t="str">
        <x:v>T0494</x:v>
      </x:c>
      <x:c r="B495" t="n">
        <x:v>10</x:v>
      </x:c>
      <x:c r="C495" t="str">
        <x:v>C031</x:v>
      </x:c>
      <x:c r="D495" t="str">
        <x:v>BPO</x:v>
      </x:c>
      <x:c r="E495" t="str">
        <x:v>Q4</x:v>
      </x:c>
      <x:c r="F495" t="str">
        <x:v>継続契約</x:v>
      </x:c>
      <x:c r="G495" t="str">
        <x:v>業務運用代行</x:v>
      </x:c>
      <x:c r="H495" s="16" t="n">
        <x:v>582000</x:v>
      </x:c>
      <x:c r="I495" s="16" t="n">
        <x:v>181000</x:v>
      </x:c>
      <x:c r="J495" s="16" t="n">
        <x:v>31000</x:v>
      </x:c>
      <x:c r="K495" s="16" t="n">
        <x:v>26000</x:v>
      </x:c>
      <x:c r="L495" s="14" t="n">
        <x:f>SUM(I495:K495)</x:f>
        <x:v>238000</x:v>
      </x:c>
      <x:c r="M495" s="14" t="n">
        <x:f>H495-L495</x:f>
        <x:v>344000</x:v>
      </x:c>
    </x:row>
    <x:row r="496">
      <x:c r="A496" t="str">
        <x:v>T0495</x:v>
      </x:c>
      <x:c r="B496" t="n">
        <x:v>10</x:v>
      </x:c>
      <x:c r="C496" t="str">
        <x:v>C031</x:v>
      </x:c>
      <x:c r="D496" t="str">
        <x:v>BPO</x:v>
      </x:c>
      <x:c r="E496" t="str">
        <x:v>Q4</x:v>
      </x:c>
      <x:c r="F496" t="str">
        <x:v>継続契約</x:v>
      </x:c>
      <x:c r="G496" t="str">
        <x:v>業務運用代行</x:v>
      </x:c>
      <x:c r="H496" s="16" t="n">
        <x:v>789000</x:v>
      </x:c>
      <x:c r="I496" s="16" t="n">
        <x:v>224000</x:v>
      </x:c>
      <x:c r="J496" s="16" t="n">
        <x:v>38000</x:v>
      </x:c>
      <x:c r="K496" s="16" t="n">
        <x:v>33000</x:v>
      </x:c>
      <x:c r="L496" s="14" t="n">
        <x:f>SUM(I496:K496)</x:f>
        <x:v>295000</x:v>
      </x:c>
      <x:c r="M496" s="14" t="n">
        <x:f>H496-L496</x:f>
        <x:v>494000</x:v>
      </x:c>
    </x:row>
    <x:row r="497">
      <x:c r="A497" t="str">
        <x:v>T0496</x:v>
      </x:c>
      <x:c r="B497" t="n">
        <x:v>10</x:v>
      </x:c>
      <x:c r="C497" t="str">
        <x:v>C032</x:v>
      </x:c>
      <x:c r="D497" t="str">
        <x:v>BPO</x:v>
      </x:c>
      <x:c r="E497" t="str">
        <x:v>Q4</x:v>
      </x:c>
      <x:c r="F497" t="str">
        <x:v>継続契約</x:v>
      </x:c>
      <x:c r="G497" t="str">
        <x:v>業務運用代行</x:v>
      </x:c>
      <x:c r="H497" s="16" t="n">
        <x:v>1050000</x:v>
      </x:c>
      <x:c r="I497" s="16" t="n">
        <x:v>312000</x:v>
      </x:c>
      <x:c r="J497" s="16" t="n">
        <x:v>53000</x:v>
      </x:c>
      <x:c r="K497" s="16" t="n">
        <x:v>46000</x:v>
      </x:c>
      <x:c r="L497" s="14" t="n">
        <x:f>SUM(I497:K497)</x:f>
        <x:v>411000</x:v>
      </x:c>
      <x:c r="M497" s="14" t="n">
        <x:f>H497-L497</x:f>
        <x:v>639000</x:v>
      </x:c>
    </x:row>
    <x:row r="498">
      <x:c r="A498" t="str">
        <x:v>T0497</x:v>
      </x:c>
      <x:c r="B498" t="n">
        <x:v>10</x:v>
      </x:c>
      <x:c r="C498" t="str">
        <x:v>C035</x:v>
      </x:c>
      <x:c r="D498" t="str">
        <x:v>TRN</x:v>
      </x:c>
      <x:c r="E498" t="str">
        <x:v>Q4</x:v>
      </x:c>
      <x:c r="F498" t="str">
        <x:v>スポット中心</x:v>
      </x:c>
      <x:c r="G498" t="str">
        <x:v>研修プログラム</x:v>
      </x:c>
      <x:c r="H498" s="16" t="n">
        <x:v>1032000</x:v>
      </x:c>
      <x:c r="I498" s="16" t="n">
        <x:v>45000</x:v>
      </x:c>
      <x:c r="J498" s="16" t="n">
        <x:v>23000</x:v>
      </x:c>
      <x:c r="K498" s="16" t="n">
        <x:v>58000</x:v>
      </x:c>
      <x:c r="L498" s="14" t="n">
        <x:f>SUM(I498:K498)</x:f>
        <x:v>126000</x:v>
      </x:c>
      <x:c r="M498" s="14" t="n">
        <x:f>H498-L498</x:f>
        <x:v>906000</x:v>
      </x:c>
    </x:row>
    <x:row r="499">
      <x:c r="A499" t="str">
        <x:v>T0498</x:v>
      </x:c>
      <x:c r="B499" t="n">
        <x:v>10</x:v>
      </x:c>
      <x:c r="C499" t="str">
        <x:v>C037</x:v>
      </x:c>
      <x:c r="D499" t="str">
        <x:v>TRN</x:v>
      </x:c>
      <x:c r="E499" t="str">
        <x:v>Q4</x:v>
      </x:c>
      <x:c r="F499" t="str">
        <x:v>継続契約</x:v>
      </x:c>
      <x:c r="G499" t="str">
        <x:v>研修プログラム</x:v>
      </x:c>
      <x:c r="H499" s="16" t="n">
        <x:v>1479000</x:v>
      </x:c>
      <x:c r="I499" s="16" t="n">
        <x:v>93000</x:v>
      </x:c>
      <x:c r="J499" s="16" t="n">
        <x:v>46000</x:v>
      </x:c>
      <x:c r="K499" s="16" t="n">
        <x:v>119000</x:v>
      </x:c>
      <x:c r="L499" s="14" t="n">
        <x:f>SUM(I499:K499)</x:f>
        <x:v>258000</x:v>
      </x:c>
      <x:c r="M499" s="14" t="n">
        <x:f>H499-L499</x:f>
        <x:v>1221000</x:v>
      </x:c>
    </x:row>
    <x:row r="500">
      <x:c r="A500" t="str">
        <x:v>T0499</x:v>
      </x:c>
      <x:c r="B500" t="n">
        <x:v>10</x:v>
      </x:c>
      <x:c r="C500" t="str">
        <x:v>C038</x:v>
      </x:c>
      <x:c r="D500" t="str">
        <x:v>TRN</x:v>
      </x:c>
      <x:c r="E500" t="str">
        <x:v>Q4</x:v>
      </x:c>
      <x:c r="F500" t="str">
        <x:v>継続契約</x:v>
      </x:c>
      <x:c r="G500" t="str">
        <x:v>研修プログラム</x:v>
      </x:c>
      <x:c r="H500" s="16" t="n">
        <x:v>1334000</x:v>
      </x:c>
      <x:c r="I500" s="16" t="n">
        <x:v>89000</x:v>
      </x:c>
      <x:c r="J500" s="16" t="n">
        <x:v>44000</x:v>
      </x:c>
      <x:c r="K500" s="16" t="n">
        <x:v>114000</x:v>
      </x:c>
      <x:c r="L500" s="14" t="n">
        <x:f>SUM(I500:K500)</x:f>
        <x:v>247000</x:v>
      </x:c>
      <x:c r="M500" s="14" t="n">
        <x:f>H500-L500</x:f>
        <x:v>1087000</x:v>
      </x:c>
    </x:row>
    <x:row r="501">
      <x:c r="A501" t="str">
        <x:v>T0500</x:v>
      </x:c>
      <x:c r="B501" t="n">
        <x:v>10</x:v>
      </x:c>
      <x:c r="C501" t="str">
        <x:v>C041</x:v>
      </x:c>
      <x:c r="D501" t="str">
        <x:v>TRN</x:v>
      </x:c>
      <x:c r="E501" t="str">
        <x:v>Q4</x:v>
      </x:c>
      <x:c r="F501" t="str">
        <x:v>継続契約</x:v>
      </x:c>
      <x:c r="G501" t="str">
        <x:v>研修プログラム</x:v>
      </x:c>
      <x:c r="H501" s="16" t="n">
        <x:v>1359000</x:v>
      </x:c>
      <x:c r="I501" s="16" t="n">
        <x:v>107000</x:v>
      </x:c>
      <x:c r="J501" s="16" t="n">
        <x:v>53000</x:v>
      </x:c>
      <x:c r="K501" s="16" t="n">
        <x:v>136000</x:v>
      </x:c>
      <x:c r="L501" s="14" t="n">
        <x:f>SUM(I501:K501)</x:f>
        <x:v>296000</x:v>
      </x:c>
      <x:c r="M501" s="14" t="n">
        <x:f>H501-L501</x:f>
        <x:v>1063000</x:v>
      </x:c>
    </x:row>
    <x:row r="502">
      <x:c r="A502" t="str">
        <x:v>T0501</x:v>
      </x:c>
      <x:c r="B502" t="n">
        <x:v>10</x:v>
      </x:c>
      <x:c r="C502" t="str">
        <x:v>C043</x:v>
      </x:c>
      <x:c r="D502" t="str">
        <x:v>TRN</x:v>
      </x:c>
      <x:c r="E502" t="str">
        <x:v>Q4</x:v>
      </x:c>
      <x:c r="F502" t="str">
        <x:v>継続契約</x:v>
      </x:c>
      <x:c r="G502" t="str">
        <x:v>研修プログラム</x:v>
      </x:c>
      <x:c r="H502" s="16" t="n">
        <x:v>387000</x:v>
      </x:c>
      <x:c r="I502" s="16" t="n">
        <x:v>30000</x:v>
      </x:c>
      <x:c r="J502" s="16" t="n">
        <x:v>15000</x:v>
      </x:c>
      <x:c r="K502" s="16" t="n">
        <x:v>39000</x:v>
      </x:c>
      <x:c r="L502" s="14" t="n">
        <x:f>SUM(I502:K502)</x:f>
        <x:v>84000</x:v>
      </x:c>
      <x:c r="M502" s="14" t="n">
        <x:f>H502-L502</x:f>
        <x:v>303000</x:v>
      </x:c>
    </x:row>
    <x:row r="503">
      <x:c r="A503" t="str">
        <x:v>T0502</x:v>
      </x:c>
      <x:c r="B503" t="n">
        <x:v>10</x:v>
      </x:c>
      <x:c r="C503" t="str">
        <x:v>C043</x:v>
      </x:c>
      <x:c r="D503" t="str">
        <x:v>TRN</x:v>
      </x:c>
      <x:c r="E503" t="str">
        <x:v>Q4</x:v>
      </x:c>
      <x:c r="F503" t="str">
        <x:v>継続契約</x:v>
      </x:c>
      <x:c r="G503" t="str">
        <x:v>研修プログラム</x:v>
      </x:c>
      <x:c r="H503" s="16" t="n">
        <x:v>407000</x:v>
      </x:c>
      <x:c r="I503" s="16" t="n">
        <x:v>30000</x:v>
      </x:c>
      <x:c r="J503" s="16" t="n">
        <x:v>15000</x:v>
      </x:c>
      <x:c r="K503" s="16" t="n">
        <x:v>37000</x:v>
      </x:c>
      <x:c r="L503" s="14" t="n">
        <x:f>SUM(I503:K503)</x:f>
        <x:v>82000</x:v>
      </x:c>
      <x:c r="M503" s="14" t="n">
        <x:f>H503-L503</x:f>
        <x:v>325000</x:v>
      </x:c>
    </x:row>
    <x:row r="504">
      <x:c r="A504" t="str">
        <x:v>T0503</x:v>
      </x:c>
      <x:c r="B504" t="n">
        <x:v>10</x:v>
      </x:c>
      <x:c r="C504" t="str">
        <x:v>C044</x:v>
      </x:c>
      <x:c r="D504" t="str">
        <x:v>TRN</x:v>
      </x:c>
      <x:c r="E504" t="str">
        <x:v>Q4</x:v>
      </x:c>
      <x:c r="F504" t="str">
        <x:v>継続契約</x:v>
      </x:c>
      <x:c r="G504" t="str">
        <x:v>研修プログラム</x:v>
      </x:c>
      <x:c r="H504" s="16" t="n">
        <x:v>1055000</x:v>
      </x:c>
      <x:c r="I504" s="16" t="n">
        <x:v>77000</x:v>
      </x:c>
      <x:c r="J504" s="16" t="n">
        <x:v>39000</x:v>
      </x:c>
      <x:c r="K504" s="16" t="n">
        <x:v>98000</x:v>
      </x:c>
      <x:c r="L504" s="14" t="n">
        <x:f>SUM(I504:K504)</x:f>
        <x:v>214000</x:v>
      </x:c>
      <x:c r="M504" s="14" t="n">
        <x:f>H504-L504</x:f>
        <x:v>841000</x:v>
      </x:c>
    </x:row>
    <x:row r="505">
      <x:c r="A505" t="str">
        <x:v>T0504</x:v>
      </x:c>
      <x:c r="B505" t="n">
        <x:v>10</x:v>
      </x:c>
      <x:c r="C505" t="str">
        <x:v>C045</x:v>
      </x:c>
      <x:c r="D505" t="str">
        <x:v>TRN</x:v>
      </x:c>
      <x:c r="E505" t="str">
        <x:v>Q4</x:v>
      </x:c>
      <x:c r="F505" t="str">
        <x:v>スポット中心</x:v>
      </x:c>
      <x:c r="G505" t="str">
        <x:v>研修プログラム</x:v>
      </x:c>
      <x:c r="H505" s="16" t="n">
        <x:v>1307000</x:v>
      </x:c>
      <x:c r="I505" s="16" t="n">
        <x:v>59000</x:v>
      </x:c>
      <x:c r="J505" s="16" t="n">
        <x:v>30000</x:v>
      </x:c>
      <x:c r="K505" s="16" t="n">
        <x:v>75000</x:v>
      </x:c>
      <x:c r="L505" s="14" t="n">
        <x:f>SUM(I505:K505)</x:f>
        <x:v>164000</x:v>
      </x:c>
      <x:c r="M505" s="14" t="n">
        <x:f>H505-L505</x:f>
        <x:v>1143000</x:v>
      </x:c>
    </x:row>
    <x:row r="506">
      <x:c r="A506" t="str">
        <x:v>T0505</x:v>
      </x:c>
      <x:c r="B506" t="n">
        <x:v>11</x:v>
      </x:c>
      <x:c r="C506" t="str">
        <x:v>C002</x:v>
      </x:c>
      <x:c r="D506" t="str">
        <x:v>IT</x:v>
      </x:c>
      <x:c r="E506" t="str">
        <x:v>Q4</x:v>
      </x:c>
      <x:c r="F506" t="str">
        <x:v>継続契約</x:v>
      </x:c>
      <x:c r="G506" t="str">
        <x:v>導入・運用支援</x:v>
      </x:c>
      <x:c r="H506" s="16" t="n">
        <x:v>3566000</x:v>
      </x:c>
      <x:c r="I506" s="16" t="n">
        <x:v>759000</x:v>
      </x:c>
      <x:c r="J506" s="16" t="n">
        <x:v>483000</x:v>
      </x:c>
      <x:c r="K506" s="16" t="n">
        <x:v>138000</x:v>
      </x:c>
      <x:c r="L506" s="14" t="n">
        <x:f>SUM(I506:K506)</x:f>
        <x:v>1380000</x:v>
      </x:c>
      <x:c r="M506" s="14" t="n">
        <x:f>H506-L506</x:f>
        <x:v>2186000</x:v>
      </x:c>
    </x:row>
    <x:row r="507">
      <x:c r="A507" t="str">
        <x:v>T0506</x:v>
      </x:c>
      <x:c r="B507" t="n">
        <x:v>11</x:v>
      </x:c>
      <x:c r="C507" t="str">
        <x:v>C003</x:v>
      </x:c>
      <x:c r="D507" t="str">
        <x:v>IT</x:v>
      </x:c>
      <x:c r="E507" t="str">
        <x:v>Q4</x:v>
      </x:c>
      <x:c r="F507" t="str">
        <x:v>継続契約</x:v>
      </x:c>
      <x:c r="G507" t="str">
        <x:v>導入・運用支援</x:v>
      </x:c>
      <x:c r="H507" s="16" t="n">
        <x:v>1367000</x:v>
      </x:c>
      <x:c r="I507" s="16" t="n">
        <x:v>273000</x:v>
      </x:c>
      <x:c r="J507" s="16" t="n">
        <x:v>174000</x:v>
      </x:c>
      <x:c r="K507" s="16" t="n">
        <x:v>50000</x:v>
      </x:c>
      <x:c r="L507" s="14" t="n">
        <x:f>SUM(I507:K507)</x:f>
        <x:v>497000</x:v>
      </x:c>
      <x:c r="M507" s="14" t="n">
        <x:f>H507-L507</x:f>
        <x:v>870000</x:v>
      </x:c>
    </x:row>
    <x:row r="508">
      <x:c r="A508" t="str">
        <x:v>T0507</x:v>
      </x:c>
      <x:c r="B508" t="n">
        <x:v>11</x:v>
      </x:c>
      <x:c r="C508" t="str">
        <x:v>C003</x:v>
      </x:c>
      <x:c r="D508" t="str">
        <x:v>IT</x:v>
      </x:c>
      <x:c r="E508" t="str">
        <x:v>Q4</x:v>
      </x:c>
      <x:c r="F508" t="str">
        <x:v>継続契約</x:v>
      </x:c>
      <x:c r="G508" t="str">
        <x:v>導入・運用支援</x:v>
      </x:c>
      <x:c r="H508" s="16" t="n">
        <x:v>1179000</x:v>
      </x:c>
      <x:c r="I508" s="16" t="n">
        <x:v>202000</x:v>
      </x:c>
      <x:c r="J508" s="16" t="n">
        <x:v>129000</x:v>
      </x:c>
      <x:c r="K508" s="16" t="n">
        <x:v>37000</x:v>
      </x:c>
      <x:c r="L508" s="14" t="n">
        <x:f>SUM(I508:K508)</x:f>
        <x:v>368000</x:v>
      </x:c>
      <x:c r="M508" s="14" t="n">
        <x:f>H508-L508</x:f>
        <x:v>811000</x:v>
      </x:c>
    </x:row>
    <x:row r="509">
      <x:c r="A509" t="str">
        <x:v>T0508</x:v>
      </x:c>
      <x:c r="B509" t="n">
        <x:v>11</x:v>
      </x:c>
      <x:c r="C509" t="str">
        <x:v>C004</x:v>
      </x:c>
      <x:c r="D509" t="str">
        <x:v>IT</x:v>
      </x:c>
      <x:c r="E509" t="str">
        <x:v>Q4</x:v>
      </x:c>
      <x:c r="F509" t="str">
        <x:v>継続契約</x:v>
      </x:c>
      <x:c r="G509" t="str">
        <x:v>導入・運用支援</x:v>
      </x:c>
      <x:c r="H509" s="16" t="n">
        <x:v>1072000</x:v>
      </x:c>
      <x:c r="I509" s="16" t="n">
        <x:v>197000</x:v>
      </x:c>
      <x:c r="J509" s="16" t="n">
        <x:v>125000</x:v>
      </x:c>
      <x:c r="K509" s="16" t="n">
        <x:v>36000</x:v>
      </x:c>
      <x:c r="L509" s="14" t="n">
        <x:f>SUM(I509:K509)</x:f>
        <x:v>358000</x:v>
      </x:c>
      <x:c r="M509" s="14" t="n">
        <x:f>H509-L509</x:f>
        <x:v>714000</x:v>
      </x:c>
    </x:row>
    <x:row r="510">
      <x:c r="A510" t="str">
        <x:v>T0509</x:v>
      </x:c>
      <x:c r="B510" t="n">
        <x:v>11</x:v>
      </x:c>
      <x:c r="C510" t="str">
        <x:v>C005</x:v>
      </x:c>
      <x:c r="D510" t="str">
        <x:v>IT</x:v>
      </x:c>
      <x:c r="E510" t="str">
        <x:v>Q4</x:v>
      </x:c>
      <x:c r="F510" t="str">
        <x:v>スポット中心</x:v>
      </x:c>
      <x:c r="G510" t="str">
        <x:v>導入・運用支援</x:v>
      </x:c>
      <x:c r="H510" s="16" t="n">
        <x:v>1694000</x:v>
      </x:c>
      <x:c r="I510" s="16" t="n">
        <x:v>372000</x:v>
      </x:c>
      <x:c r="J510" s="16" t="n">
        <x:v>237000</x:v>
      </x:c>
      <x:c r="K510" s="16" t="n">
        <x:v>68000</x:v>
      </x:c>
      <x:c r="L510" s="14" t="n">
        <x:f>SUM(I510:K510)</x:f>
        <x:v>677000</x:v>
      </x:c>
      <x:c r="M510" s="14" t="n">
        <x:f>H510-L510</x:f>
        <x:v>1017000</x:v>
      </x:c>
    </x:row>
    <x:row r="511">
      <x:c r="A511" t="str">
        <x:v>T0510</x:v>
      </x:c>
      <x:c r="B511" t="n">
        <x:v>11</x:v>
      </x:c>
      <x:c r="C511" t="str">
        <x:v>C006</x:v>
      </x:c>
      <x:c r="D511" t="str">
        <x:v>IT</x:v>
      </x:c>
      <x:c r="E511" t="str">
        <x:v>Q4</x:v>
      </x:c>
      <x:c r="F511" t="str">
        <x:v>継続契約</x:v>
      </x:c>
      <x:c r="G511" t="str">
        <x:v>導入・運用支援</x:v>
      </x:c>
      <x:c r="H511" s="16" t="n">
        <x:v>1594000</x:v>
      </x:c>
      <x:c r="I511" s="16" t="n">
        <x:v>305000</x:v>
      </x:c>
      <x:c r="J511" s="16" t="n">
        <x:v>194000</x:v>
      </x:c>
      <x:c r="K511" s="16" t="n">
        <x:v>56000</x:v>
      </x:c>
      <x:c r="L511" s="14" t="n">
        <x:f>SUM(I511:K511)</x:f>
        <x:v>555000</x:v>
      </x:c>
      <x:c r="M511" s="14" t="n">
        <x:f>H511-L511</x:f>
        <x:v>1039000</x:v>
      </x:c>
    </x:row>
    <x:row r="512">
      <x:c r="A512" t="str">
        <x:v>T0511</x:v>
      </x:c>
      <x:c r="B512" t="n">
        <x:v>11</x:v>
      </x:c>
      <x:c r="C512" t="str">
        <x:v>C007</x:v>
      </x:c>
      <x:c r="D512" t="str">
        <x:v>IT</x:v>
      </x:c>
      <x:c r="E512" t="str">
        <x:v>Q4</x:v>
      </x:c>
      <x:c r="F512" t="str">
        <x:v>継続契約</x:v>
      </x:c>
      <x:c r="G512" t="str">
        <x:v>導入・運用支援</x:v>
      </x:c>
      <x:c r="H512" s="16" t="n">
        <x:v>920000</x:v>
      </x:c>
      <x:c r="I512" s="16" t="n">
        <x:v>192000</x:v>
      </x:c>
      <x:c r="J512" s="16" t="n">
        <x:v>122000</x:v>
      </x:c>
      <x:c r="K512" s="16" t="n">
        <x:v>35000</x:v>
      </x:c>
      <x:c r="L512" s="14" t="n">
        <x:f>SUM(I512:K512)</x:f>
        <x:v>349000</x:v>
      </x:c>
      <x:c r="M512" s="14" t="n">
        <x:f>H512-L512</x:f>
        <x:v>571000</x:v>
      </x:c>
    </x:row>
    <x:row r="513">
      <x:c r="A513" t="str">
        <x:v>T0512</x:v>
      </x:c>
      <x:c r="B513" t="n">
        <x:v>11</x:v>
      </x:c>
      <x:c r="C513" t="str">
        <x:v>C008</x:v>
      </x:c>
      <x:c r="D513" t="str">
        <x:v>IT</x:v>
      </x:c>
      <x:c r="E513" t="str">
        <x:v>Q4</x:v>
      </x:c>
      <x:c r="F513" t="str">
        <x:v>継続契約</x:v>
      </x:c>
      <x:c r="G513" t="str">
        <x:v>導入・運用支援</x:v>
      </x:c>
      <x:c r="H513" s="16" t="n">
        <x:v>1352000</x:v>
      </x:c>
      <x:c r="I513" s="16" t="n">
        <x:v>245000</x:v>
      </x:c>
      <x:c r="J513" s="16" t="n">
        <x:v>156000</x:v>
      </x:c>
      <x:c r="K513" s="16" t="n">
        <x:v>44000</x:v>
      </x:c>
      <x:c r="L513" s="14" t="n">
        <x:f>SUM(I513:K513)</x:f>
        <x:v>445000</x:v>
      </x:c>
      <x:c r="M513" s="14" t="n">
        <x:f>H513-L513</x:f>
        <x:v>907000</x:v>
      </x:c>
    </x:row>
    <x:row r="514">
      <x:c r="A514" t="str">
        <x:v>T0513</x:v>
      </x:c>
      <x:c r="B514" t="n">
        <x:v>11</x:v>
      </x:c>
      <x:c r="C514" t="str">
        <x:v>C011</x:v>
      </x:c>
      <x:c r="D514" t="str">
        <x:v>IT</x:v>
      </x:c>
      <x:c r="E514" t="str">
        <x:v>Q4</x:v>
      </x:c>
      <x:c r="F514" t="str">
        <x:v>継続契約</x:v>
      </x:c>
      <x:c r="G514" t="str">
        <x:v>導入・運用支援</x:v>
      </x:c>
      <x:c r="H514" s="16" t="n">
        <x:v>437000</x:v>
      </x:c>
      <x:c r="I514" s="16" t="n">
        <x:v>85000</x:v>
      </x:c>
      <x:c r="J514" s="16" t="n">
        <x:v>54000</x:v>
      </x:c>
      <x:c r="K514" s="16" t="n">
        <x:v>16000</x:v>
      </x:c>
      <x:c r="L514" s="14" t="n">
        <x:f>SUM(I514:K514)</x:f>
        <x:v>155000</x:v>
      </x:c>
      <x:c r="M514" s="14" t="n">
        <x:f>H514-L514</x:f>
        <x:v>282000</x:v>
      </x:c>
    </x:row>
    <x:row r="515">
      <x:c r="A515" t="str">
        <x:v>T0514</x:v>
      </x:c>
      <x:c r="B515" t="n">
        <x:v>11</x:v>
      </x:c>
      <x:c r="C515" t="str">
        <x:v>C011</x:v>
      </x:c>
      <x:c r="D515" t="str">
        <x:v>IT</x:v>
      </x:c>
      <x:c r="E515" t="str">
        <x:v>Q4</x:v>
      </x:c>
      <x:c r="F515" t="str">
        <x:v>継続契約</x:v>
      </x:c>
      <x:c r="G515" t="str">
        <x:v>導入・運用支援</x:v>
      </x:c>
      <x:c r="H515" s="16" t="n">
        <x:v>583000</x:v>
      </x:c>
      <x:c r="I515" s="16" t="n">
        <x:v>119000</x:v>
      </x:c>
      <x:c r="J515" s="16" t="n">
        <x:v>76000</x:v>
      </x:c>
      <x:c r="K515" s="16" t="n">
        <x:v>21000</x:v>
      </x:c>
      <x:c r="L515" s="14" t="n">
        <x:f>SUM(I515:K515)</x:f>
        <x:v>216000</x:v>
      </x:c>
      <x:c r="M515" s="14" t="n">
        <x:f>H515-L515</x:f>
        <x:v>367000</x:v>
      </x:c>
    </x:row>
    <x:row r="516">
      <x:c r="A516" t="str">
        <x:v>T0515</x:v>
      </x:c>
      <x:c r="B516" t="n">
        <x:v>11</x:v>
      </x:c>
      <x:c r="C516" t="str">
        <x:v>C012</x:v>
      </x:c>
      <x:c r="D516" t="str">
        <x:v>IT</x:v>
      </x:c>
      <x:c r="E516" t="str">
        <x:v>Q4</x:v>
      </x:c>
      <x:c r="F516" t="str">
        <x:v>継続契約</x:v>
      </x:c>
      <x:c r="G516" t="str">
        <x:v>導入・運用支援</x:v>
      </x:c>
      <x:c r="H516" s="16" t="n">
        <x:v>1022000</x:v>
      </x:c>
      <x:c r="I516" s="16" t="n">
        <x:v>179000</x:v>
      </x:c>
      <x:c r="J516" s="16" t="n">
        <x:v>114000</x:v>
      </x:c>
      <x:c r="K516" s="16" t="n">
        <x:v>32000</x:v>
      </x:c>
      <x:c r="L516" s="14" t="n">
        <x:f>SUM(I516:K516)</x:f>
        <x:v>325000</x:v>
      </x:c>
      <x:c r="M516" s="14" t="n">
        <x:f>H516-L516</x:f>
        <x:v>697000</x:v>
      </x:c>
    </x:row>
    <x:row r="517">
      <x:c r="A517" t="str">
        <x:v>T0516</x:v>
      </x:c>
      <x:c r="B517" t="n">
        <x:v>11</x:v>
      </x:c>
      <x:c r="C517" t="str">
        <x:v>C014</x:v>
      </x:c>
      <x:c r="D517" t="str">
        <x:v>IT</x:v>
      </x:c>
      <x:c r="E517" t="str">
        <x:v>Q4</x:v>
      </x:c>
      <x:c r="F517" t="str">
        <x:v>継続契約</x:v>
      </x:c>
      <x:c r="G517" t="str">
        <x:v>導入・運用支援</x:v>
      </x:c>
      <x:c r="H517" s="16" t="n">
        <x:v>1132000</x:v>
      </x:c>
      <x:c r="I517" s="16" t="n">
        <x:v>229000</x:v>
      </x:c>
      <x:c r="J517" s="16" t="n">
        <x:v>146000</x:v>
      </x:c>
      <x:c r="K517" s="16" t="n">
        <x:v>41000</x:v>
      </x:c>
      <x:c r="L517" s="14" t="n">
        <x:f>SUM(I517:K517)</x:f>
        <x:v>416000</x:v>
      </x:c>
      <x:c r="M517" s="14" t="n">
        <x:f>H517-L517</x:f>
        <x:v>716000</x:v>
      </x:c>
    </x:row>
    <x:row r="518">
      <x:c r="A518" t="str">
        <x:v>T0517</x:v>
      </x:c>
      <x:c r="B518" t="n">
        <x:v>11</x:v>
      </x:c>
      <x:c r="C518" t="str">
        <x:v>C016</x:v>
      </x:c>
      <x:c r="D518" t="str">
        <x:v>IT</x:v>
      </x:c>
      <x:c r="E518" t="str">
        <x:v>Q4</x:v>
      </x:c>
      <x:c r="F518" t="str">
        <x:v>継続契約</x:v>
      </x:c>
      <x:c r="G518" t="str">
        <x:v>導入・運用支援</x:v>
      </x:c>
      <x:c r="H518" s="16" t="n">
        <x:v>418000</x:v>
      </x:c>
      <x:c r="I518" s="16" t="n">
        <x:v>79000</x:v>
      </x:c>
      <x:c r="J518" s="16" t="n">
        <x:v>50000</x:v>
      </x:c>
      <x:c r="K518" s="16" t="n">
        <x:v>14000</x:v>
      </x:c>
      <x:c r="L518" s="14" t="n">
        <x:f>SUM(I518:K518)</x:f>
        <x:v>143000</x:v>
      </x:c>
      <x:c r="M518" s="14" t="n">
        <x:f>H518-L518</x:f>
        <x:v>275000</x:v>
      </x:c>
    </x:row>
    <x:row r="519">
      <x:c r="A519" t="str">
        <x:v>T0518</x:v>
      </x:c>
      <x:c r="B519" t="n">
        <x:v>11</x:v>
      </x:c>
      <x:c r="C519" t="str">
        <x:v>C016</x:v>
      </x:c>
      <x:c r="D519" t="str">
        <x:v>IT</x:v>
      </x:c>
      <x:c r="E519" t="str">
        <x:v>Q4</x:v>
      </x:c>
      <x:c r="F519" t="str">
        <x:v>継続契約</x:v>
      </x:c>
      <x:c r="G519" t="str">
        <x:v>導入・運用支援</x:v>
      </x:c>
      <x:c r="H519" s="16" t="n">
        <x:v>589000</x:v>
      </x:c>
      <x:c r="I519" s="16" t="n">
        <x:v>109000</x:v>
      </x:c>
      <x:c r="J519" s="16" t="n">
        <x:v>70000</x:v>
      </x:c>
      <x:c r="K519" s="16" t="n">
        <x:v>20000</x:v>
      </x:c>
      <x:c r="L519" s="14" t="n">
        <x:f>SUM(I519:K519)</x:f>
        <x:v>199000</x:v>
      </x:c>
      <x:c r="M519" s="14" t="n">
        <x:f>H519-L519</x:f>
        <x:v>390000</x:v>
      </x:c>
    </x:row>
    <x:row r="520">
      <x:c r="A520" t="str">
        <x:v>T0519</x:v>
      </x:c>
      <x:c r="B520" t="n">
        <x:v>11</x:v>
      </x:c>
      <x:c r="C520" t="str">
        <x:v>C018</x:v>
      </x:c>
      <x:c r="D520" t="str">
        <x:v>IT</x:v>
      </x:c>
      <x:c r="E520" t="str">
        <x:v>Q4</x:v>
      </x:c>
      <x:c r="F520" t="str">
        <x:v>継続契約</x:v>
      </x:c>
      <x:c r="G520" t="str">
        <x:v>導入・運用支援</x:v>
      </x:c>
      <x:c r="H520" s="16" t="n">
        <x:v>666000</x:v>
      </x:c>
      <x:c r="I520" s="16" t="n">
        <x:v>147000</x:v>
      </x:c>
      <x:c r="J520" s="16" t="n">
        <x:v>93000</x:v>
      </x:c>
      <x:c r="K520" s="16" t="n">
        <x:v>27000</x:v>
      </x:c>
      <x:c r="L520" s="14" t="n">
        <x:f>SUM(I520:K520)</x:f>
        <x:v>267000</x:v>
      </x:c>
      <x:c r="M520" s="14" t="n">
        <x:f>H520-L520</x:f>
        <x:v>399000</x:v>
      </x:c>
    </x:row>
    <x:row r="521">
      <x:c r="A521" t="str">
        <x:v>T0520</x:v>
      </x:c>
      <x:c r="B521" t="n">
        <x:v>11</x:v>
      </x:c>
      <x:c r="C521" t="str">
        <x:v>C018</x:v>
      </x:c>
      <x:c r="D521" t="str">
        <x:v>IT</x:v>
      </x:c>
      <x:c r="E521" t="str">
        <x:v>Q4</x:v>
      </x:c>
      <x:c r="F521" t="str">
        <x:v>継続契約</x:v>
      </x:c>
      <x:c r="G521" t="str">
        <x:v>導入・運用支援</x:v>
      </x:c>
      <x:c r="H521" s="16" t="n">
        <x:v>681000</x:v>
      </x:c>
      <x:c r="I521" s="16" t="n">
        <x:v>142000</x:v>
      </x:c>
      <x:c r="J521" s="16" t="n">
        <x:v>90000</x:v>
      </x:c>
      <x:c r="K521" s="16" t="n">
        <x:v>26000</x:v>
      </x:c>
      <x:c r="L521" s="14" t="n">
        <x:f>SUM(I521:K521)</x:f>
        <x:v>258000</x:v>
      </x:c>
      <x:c r="M521" s="14" t="n">
        <x:f>H521-L521</x:f>
        <x:v>423000</x:v>
      </x:c>
    </x:row>
    <x:row r="522">
      <x:c r="A522" t="str">
        <x:v>T0521</x:v>
      </x:c>
      <x:c r="B522" t="n">
        <x:v>11</x:v>
      </x:c>
      <x:c r="C522" t="str">
        <x:v>C019</x:v>
      </x:c>
      <x:c r="D522" t="str">
        <x:v>BPO</x:v>
      </x:c>
      <x:c r="E522" t="str">
        <x:v>Q4</x:v>
      </x:c>
      <x:c r="F522" t="str">
        <x:v>継続契約</x:v>
      </x:c>
      <x:c r="G522" t="str">
        <x:v>業務運用代行</x:v>
      </x:c>
      <x:c r="H522" s="16" t="n">
        <x:v>2803000</x:v>
      </x:c>
      <x:c r="I522" s="16" t="n">
        <x:v>800000</x:v>
      </x:c>
      <x:c r="J522" s="16" t="n">
        <x:v>137000</x:v>
      </x:c>
      <x:c r="K522" s="16" t="n">
        <x:v>116000</x:v>
      </x:c>
      <x:c r="L522" s="14" t="n">
        <x:f>SUM(I522:K522)</x:f>
        <x:v>1053000</x:v>
      </x:c>
      <x:c r="M522" s="14" t="n">
        <x:f>H522-L522</x:f>
        <x:v>1750000</x:v>
      </x:c>
    </x:row>
    <x:row r="523">
      <x:c r="A523" t="str">
        <x:v>T0522</x:v>
      </x:c>
      <x:c r="B523" t="n">
        <x:v>11</x:v>
      </x:c>
      <x:c r="C523" t="str">
        <x:v>C020</x:v>
      </x:c>
      <x:c r="D523" t="str">
        <x:v>BPO</x:v>
      </x:c>
      <x:c r="E523" t="str">
        <x:v>Q4</x:v>
      </x:c>
      <x:c r="F523" t="str">
        <x:v>継続契約</x:v>
      </x:c>
      <x:c r="G523" t="str">
        <x:v>業務運用代行</x:v>
      </x:c>
      <x:c r="H523" s="16" t="n">
        <x:v>1127000</x:v>
      </x:c>
      <x:c r="I523" s="16" t="n">
        <x:v>366000</x:v>
      </x:c>
      <x:c r="J523" s="16" t="n">
        <x:v>63000</x:v>
      </x:c>
      <x:c r="K523" s="16" t="n">
        <x:v>52000</x:v>
      </x:c>
      <x:c r="L523" s="14" t="n">
        <x:f>SUM(I523:K523)</x:f>
        <x:v>481000</x:v>
      </x:c>
      <x:c r="M523" s="14" t="n">
        <x:f>H523-L523</x:f>
        <x:v>646000</x:v>
      </x:c>
    </x:row>
    <x:row r="524">
      <x:c r="A524" t="str">
        <x:v>T0523</x:v>
      </x:c>
      <x:c r="B524" t="n">
        <x:v>11</x:v>
      </x:c>
      <x:c r="C524" t="str">
        <x:v>C020</x:v>
      </x:c>
      <x:c r="D524" t="str">
        <x:v>BPO</x:v>
      </x:c>
      <x:c r="E524" t="str">
        <x:v>Q4</x:v>
      </x:c>
      <x:c r="F524" t="str">
        <x:v>継続契約</x:v>
      </x:c>
      <x:c r="G524" t="str">
        <x:v>業務運用代行</x:v>
      </x:c>
      <x:c r="H524" s="16" t="n">
        <x:v>1193000</x:v>
      </x:c>
      <x:c r="I524" s="16" t="n">
        <x:v>321000</x:v>
      </x:c>
      <x:c r="J524" s="16" t="n">
        <x:v>55000</x:v>
      </x:c>
      <x:c r="K524" s="16" t="n">
        <x:v>46000</x:v>
      </x:c>
      <x:c r="L524" s="14" t="n">
        <x:f>SUM(I524:K524)</x:f>
        <x:v>422000</x:v>
      </x:c>
      <x:c r="M524" s="14" t="n">
        <x:f>H524-L524</x:f>
        <x:v>771000</x:v>
      </x:c>
    </x:row>
    <x:row r="525">
      <x:c r="A525" t="str">
        <x:v>T0524</x:v>
      </x:c>
      <x:c r="B525" t="n">
        <x:v>11</x:v>
      </x:c>
      <x:c r="C525" t="str">
        <x:v>C021</x:v>
      </x:c>
      <x:c r="D525" t="str">
        <x:v>BPO</x:v>
      </x:c>
      <x:c r="E525" t="str">
        <x:v>Q4</x:v>
      </x:c>
      <x:c r="F525" t="str">
        <x:v>継続契約</x:v>
      </x:c>
      <x:c r="G525" t="str">
        <x:v>業務運用代行</x:v>
      </x:c>
      <x:c r="H525" s="16" t="n">
        <x:v>422000</x:v>
      </x:c>
      <x:c r="I525" s="16" t="n">
        <x:v>127000</x:v>
      </x:c>
      <x:c r="J525" s="16" t="n">
        <x:v>22000</x:v>
      </x:c>
      <x:c r="K525" s="16" t="n">
        <x:v>18000</x:v>
      </x:c>
      <x:c r="L525" s="14" t="n">
        <x:f>SUM(I525:K525)</x:f>
        <x:v>167000</x:v>
      </x:c>
      <x:c r="M525" s="14" t="n">
        <x:f>H525-L525</x:f>
        <x:v>255000</x:v>
      </x:c>
    </x:row>
    <x:row r="526">
      <x:c r="A526" t="str">
        <x:v>T0525</x:v>
      </x:c>
      <x:c r="B526" t="n">
        <x:v>11</x:v>
      </x:c>
      <x:c r="C526" t="str">
        <x:v>C021</x:v>
      </x:c>
      <x:c r="D526" t="str">
        <x:v>BPO</x:v>
      </x:c>
      <x:c r="E526" t="str">
        <x:v>Q4</x:v>
      </x:c>
      <x:c r="F526" t="str">
        <x:v>継続契約</x:v>
      </x:c>
      <x:c r="G526" t="str">
        <x:v>業務運用代行</x:v>
      </x:c>
      <x:c r="H526" s="16" t="n">
        <x:v>444000</x:v>
      </x:c>
      <x:c r="I526" s="16" t="n">
        <x:v>126000</x:v>
      </x:c>
      <x:c r="J526" s="16" t="n">
        <x:v>22000</x:v>
      </x:c>
      <x:c r="K526" s="16" t="n">
        <x:v>18000</x:v>
      </x:c>
      <x:c r="L526" s="14" t="n">
        <x:f>SUM(I526:K526)</x:f>
        <x:v>166000</x:v>
      </x:c>
      <x:c r="M526" s="14" t="n">
        <x:f>H526-L526</x:f>
        <x:v>278000</x:v>
      </x:c>
    </x:row>
    <x:row r="527">
      <x:c r="A527" t="str">
        <x:v>T0526</x:v>
      </x:c>
      <x:c r="B527" t="n">
        <x:v>11</x:v>
      </x:c>
      <x:c r="C527" t="str">
        <x:v>C022</x:v>
      </x:c>
      <x:c r="D527" t="str">
        <x:v>BPO</x:v>
      </x:c>
      <x:c r="E527" t="str">
        <x:v>Q4</x:v>
      </x:c>
      <x:c r="F527" t="str">
        <x:v>継続契約</x:v>
      </x:c>
      <x:c r="G527" t="str">
        <x:v>業務運用代行</x:v>
      </x:c>
      <x:c r="H527" s="16" t="n">
        <x:v>1222000</x:v>
      </x:c>
      <x:c r="I527" s="16" t="n">
        <x:v>379000</x:v>
      </x:c>
      <x:c r="J527" s="16" t="n">
        <x:v>65000</x:v>
      </x:c>
      <x:c r="K527" s="16" t="n">
        <x:v>55000</x:v>
      </x:c>
      <x:c r="L527" s="14" t="n">
        <x:f>SUM(I527:K527)</x:f>
        <x:v>499000</x:v>
      </x:c>
      <x:c r="M527" s="14" t="n">
        <x:f>H527-L527</x:f>
        <x:v>723000</x:v>
      </x:c>
    </x:row>
    <x:row r="528">
      <x:c r="A528" t="str">
        <x:v>T0527</x:v>
      </x:c>
      <x:c r="B528" t="n">
        <x:v>11</x:v>
      </x:c>
      <x:c r="C528" t="str">
        <x:v>C023</x:v>
      </x:c>
      <x:c r="D528" t="str">
        <x:v>BPO</x:v>
      </x:c>
      <x:c r="E528" t="str">
        <x:v>Q4</x:v>
      </x:c>
      <x:c r="F528" t="str">
        <x:v>継続契約</x:v>
      </x:c>
      <x:c r="G528" t="str">
        <x:v>業務運用代行</x:v>
      </x:c>
      <x:c r="H528" s="16" t="n">
        <x:v>1483000</x:v>
      </x:c>
      <x:c r="I528" s="16" t="n">
        <x:v>397000</x:v>
      </x:c>
      <x:c r="J528" s="16" t="n">
        <x:v>68000</x:v>
      </x:c>
      <x:c r="K528" s="16" t="n">
        <x:v>57000</x:v>
      </x:c>
      <x:c r="L528" s="14" t="n">
        <x:f>SUM(I528:K528)</x:f>
        <x:v>522000</x:v>
      </x:c>
      <x:c r="M528" s="14" t="n">
        <x:f>H528-L528</x:f>
        <x:v>961000</x:v>
      </x:c>
    </x:row>
    <x:row r="529">
      <x:c r="A529" t="str">
        <x:v>T0528</x:v>
      </x:c>
      <x:c r="B529" t="n">
        <x:v>11</x:v>
      </x:c>
      <x:c r="C529" t="str">
        <x:v>C024</x:v>
      </x:c>
      <x:c r="D529" t="str">
        <x:v>BPO</x:v>
      </x:c>
      <x:c r="E529" t="str">
        <x:v>Q4</x:v>
      </x:c>
      <x:c r="F529" t="str">
        <x:v>継続契約</x:v>
      </x:c>
      <x:c r="G529" t="str">
        <x:v>業務運用代行</x:v>
      </x:c>
      <x:c r="H529" s="16" t="n">
        <x:v>1355000</x:v>
      </x:c>
      <x:c r="I529" s="16" t="n">
        <x:v>399000</x:v>
      </x:c>
      <x:c r="J529" s="16" t="n">
        <x:v>68000</x:v>
      </x:c>
      <x:c r="K529" s="16" t="n">
        <x:v>58000</x:v>
      </x:c>
      <x:c r="L529" s="14" t="n">
        <x:f>SUM(I529:K529)</x:f>
        <x:v>525000</x:v>
      </x:c>
      <x:c r="M529" s="14" t="n">
        <x:f>H529-L529</x:f>
        <x:v>830000</x:v>
      </x:c>
    </x:row>
    <x:row r="530">
      <x:c r="A530" t="str">
        <x:v>T0529</x:v>
      </x:c>
      <x:c r="B530" t="n">
        <x:v>11</x:v>
      </x:c>
      <x:c r="C530" t="str">
        <x:v>C025</x:v>
      </x:c>
      <x:c r="D530" t="str">
        <x:v>BPO</x:v>
      </x:c>
      <x:c r="E530" t="str">
        <x:v>Q4</x:v>
      </x:c>
      <x:c r="F530" t="str">
        <x:v>継続契約</x:v>
      </x:c>
      <x:c r="G530" t="str">
        <x:v>業務運用代行</x:v>
      </x:c>
      <x:c r="H530" s="16" t="n">
        <x:v>399000</x:v>
      </x:c>
      <x:c r="I530" s="16" t="n">
        <x:v>116000</x:v>
      </x:c>
      <x:c r="J530" s="16" t="n">
        <x:v>20000</x:v>
      </x:c>
      <x:c r="K530" s="16" t="n">
        <x:v>17000</x:v>
      </x:c>
      <x:c r="L530" s="14" t="n">
        <x:f>SUM(I530:K530)</x:f>
        <x:v>153000</x:v>
      </x:c>
      <x:c r="M530" s="14" t="n">
        <x:f>H530-L530</x:f>
        <x:v>246000</x:v>
      </x:c>
    </x:row>
    <x:row r="531">
      <x:c r="A531" t="str">
        <x:v>T0530</x:v>
      </x:c>
      <x:c r="B531" t="n">
        <x:v>11</x:v>
      </x:c>
      <x:c r="C531" t="str">
        <x:v>C025</x:v>
      </x:c>
      <x:c r="D531" t="str">
        <x:v>BPO</x:v>
      </x:c>
      <x:c r="E531" t="str">
        <x:v>Q4</x:v>
      </x:c>
      <x:c r="F531" t="str">
        <x:v>継続契約</x:v>
      </x:c>
      <x:c r="G531" t="str">
        <x:v>業務運用代行</x:v>
      </x:c>
      <x:c r="H531" s="16" t="n">
        <x:v>664000</x:v>
      </x:c>
      <x:c r="I531" s="16" t="n">
        <x:v>201000</x:v>
      </x:c>
      <x:c r="J531" s="16" t="n">
        <x:v>34000</x:v>
      </x:c>
      <x:c r="K531" s="16" t="n">
        <x:v>30000</x:v>
      </x:c>
      <x:c r="L531" s="14" t="n">
        <x:f>SUM(I531:K531)</x:f>
        <x:v>265000</x:v>
      </x:c>
      <x:c r="M531" s="14" t="n">
        <x:f>H531-L531</x:f>
        <x:v>399000</x:v>
      </x:c>
    </x:row>
    <x:row r="532">
      <x:c r="A532" t="str">
        <x:v>T0531</x:v>
      </x:c>
      <x:c r="B532" t="n">
        <x:v>11</x:v>
      </x:c>
      <x:c r="C532" t="str">
        <x:v>C026</x:v>
      </x:c>
      <x:c r="D532" t="str">
        <x:v>BPO</x:v>
      </x:c>
      <x:c r="E532" t="str">
        <x:v>Q4</x:v>
      </x:c>
      <x:c r="F532" t="str">
        <x:v>継続契約</x:v>
      </x:c>
      <x:c r="G532" t="str">
        <x:v>業務運用代行</x:v>
      </x:c>
      <x:c r="H532" s="16" t="n">
        <x:v>1049000</x:v>
      </x:c>
      <x:c r="I532" s="16" t="n">
        <x:v>311000</x:v>
      </x:c>
      <x:c r="J532" s="16" t="n">
        <x:v>53000</x:v>
      </x:c>
      <x:c r="K532" s="16" t="n">
        <x:v>45000</x:v>
      </x:c>
      <x:c r="L532" s="14" t="n">
        <x:f>SUM(I532:K532)</x:f>
        <x:v>409000</x:v>
      </x:c>
      <x:c r="M532" s="14" t="n">
        <x:f>H532-L532</x:f>
        <x:v>640000</x:v>
      </x:c>
    </x:row>
    <x:row r="533">
      <x:c r="A533" t="str">
        <x:v>T0532</x:v>
      </x:c>
      <x:c r="B533" t="n">
        <x:v>11</x:v>
      </x:c>
      <x:c r="C533" t="str">
        <x:v>C027</x:v>
      </x:c>
      <x:c r="D533" t="str">
        <x:v>BPO</x:v>
      </x:c>
      <x:c r="E533" t="str">
        <x:v>Q4</x:v>
      </x:c>
      <x:c r="F533" t="str">
        <x:v>継続契約</x:v>
      </x:c>
      <x:c r="G533" t="str">
        <x:v>業務運用代行</x:v>
      </x:c>
      <x:c r="H533" s="16" t="n">
        <x:v>1259000</x:v>
      </x:c>
      <x:c r="I533" s="16" t="n">
        <x:v>350000</x:v>
      </x:c>
      <x:c r="J533" s="16" t="n">
        <x:v>60000</x:v>
      </x:c>
      <x:c r="K533" s="16" t="n">
        <x:v>50000</x:v>
      </x:c>
      <x:c r="L533" s="14" t="n">
        <x:f>SUM(I533:K533)</x:f>
        <x:v>460000</x:v>
      </x:c>
      <x:c r="M533" s="14" t="n">
        <x:f>H533-L533</x:f>
        <x:v>799000</x:v>
      </x:c>
    </x:row>
    <x:row r="534">
      <x:c r="A534" t="str">
        <x:v>T0533</x:v>
      </x:c>
      <x:c r="B534" t="n">
        <x:v>11</x:v>
      </x:c>
      <x:c r="C534" t="str">
        <x:v>C028</x:v>
      </x:c>
      <x:c r="D534" t="str">
        <x:v>BPO</x:v>
      </x:c>
      <x:c r="E534" t="str">
        <x:v>Q4</x:v>
      </x:c>
      <x:c r="F534" t="str">
        <x:v>継続契約</x:v>
      </x:c>
      <x:c r="G534" t="str">
        <x:v>業務運用代行</x:v>
      </x:c>
      <x:c r="H534" s="16" t="n">
        <x:v>1606000</x:v>
      </x:c>
      <x:c r="I534" s="16" t="n">
        <x:v>436000</x:v>
      </x:c>
      <x:c r="J534" s="16" t="n">
        <x:v>75000</x:v>
      </x:c>
      <x:c r="K534" s="16" t="n">
        <x:v>63000</x:v>
      </x:c>
      <x:c r="L534" s="14" t="n">
        <x:f>SUM(I534:K534)</x:f>
        <x:v>574000</x:v>
      </x:c>
      <x:c r="M534" s="14" t="n">
        <x:f>H534-L534</x:f>
        <x:v>1032000</x:v>
      </x:c>
    </x:row>
    <x:row r="535">
      <x:c r="A535" t="str">
        <x:v>T0534</x:v>
      </x:c>
      <x:c r="B535" t="n">
        <x:v>11</x:v>
      </x:c>
      <x:c r="C535" t="str">
        <x:v>C030</x:v>
      </x:c>
      <x:c r="D535" t="str">
        <x:v>BPO</x:v>
      </x:c>
      <x:c r="E535" t="str">
        <x:v>Q4</x:v>
      </x:c>
      <x:c r="F535" t="str">
        <x:v>継続契約</x:v>
      </x:c>
      <x:c r="G535" t="str">
        <x:v>業務運用代行</x:v>
      </x:c>
      <x:c r="H535" s="16" t="n">
        <x:v>1504000</x:v>
      </x:c>
      <x:c r="I535" s="16" t="n">
        <x:v>467000</x:v>
      </x:c>
      <x:c r="J535" s="16" t="n">
        <x:v>80000</x:v>
      </x:c>
      <x:c r="K535" s="16" t="n">
        <x:v>68000</x:v>
      </x:c>
      <x:c r="L535" s="14" t="n">
        <x:f>SUM(I535:K535)</x:f>
        <x:v>615000</x:v>
      </x:c>
      <x:c r="M535" s="14" t="n">
        <x:f>H535-L535</x:f>
        <x:v>889000</x:v>
      </x:c>
    </x:row>
    <x:row r="536">
      <x:c r="A536" t="str">
        <x:v>T0535</x:v>
      </x:c>
      <x:c r="B536" t="n">
        <x:v>11</x:v>
      </x:c>
      <x:c r="C536" t="str">
        <x:v>C031</x:v>
      </x:c>
      <x:c r="D536" t="str">
        <x:v>BPO</x:v>
      </x:c>
      <x:c r="E536" t="str">
        <x:v>Q4</x:v>
      </x:c>
      <x:c r="F536" t="str">
        <x:v>継続契約</x:v>
      </x:c>
      <x:c r="G536" t="str">
        <x:v>業務運用代行</x:v>
      </x:c>
      <x:c r="H536" s="16" t="n">
        <x:v>495000</x:v>
      </x:c>
      <x:c r="I536" s="16" t="n">
        <x:v>158000</x:v>
      </x:c>
      <x:c r="J536" s="16" t="n">
        <x:v>27000</x:v>
      </x:c>
      <x:c r="K536" s="16" t="n">
        <x:v>23000</x:v>
      </x:c>
      <x:c r="L536" s="14" t="n">
        <x:f>SUM(I536:K536)</x:f>
        <x:v>208000</x:v>
      </x:c>
      <x:c r="M536" s="14" t="n">
        <x:f>H536-L536</x:f>
        <x:v>287000</x:v>
      </x:c>
    </x:row>
    <x:row r="537">
      <x:c r="A537" t="str">
        <x:v>T0536</x:v>
      </x:c>
      <x:c r="B537" t="n">
        <x:v>11</x:v>
      </x:c>
      <x:c r="C537" t="str">
        <x:v>C031</x:v>
      </x:c>
      <x:c r="D537" t="str">
        <x:v>BPO</x:v>
      </x:c>
      <x:c r="E537" t="str">
        <x:v>Q4</x:v>
      </x:c>
      <x:c r="F537" t="str">
        <x:v>継続契約</x:v>
      </x:c>
      <x:c r="G537" t="str">
        <x:v>業務運用代行</x:v>
      </x:c>
      <x:c r="H537" s="16" t="n">
        <x:v>530000</x:v>
      </x:c>
      <x:c r="I537" s="16" t="n">
        <x:v>165000</x:v>
      </x:c>
      <x:c r="J537" s="16" t="n">
        <x:v>28000</x:v>
      </x:c>
      <x:c r="K537" s="16" t="n">
        <x:v>24000</x:v>
      </x:c>
      <x:c r="L537" s="14" t="n">
        <x:f>SUM(I537:K537)</x:f>
        <x:v>217000</x:v>
      </x:c>
      <x:c r="M537" s="14" t="n">
        <x:f>H537-L537</x:f>
        <x:v>313000</x:v>
      </x:c>
    </x:row>
    <x:row r="538">
      <x:c r="A538" t="str">
        <x:v>T0537</x:v>
      </x:c>
      <x:c r="B538" t="n">
        <x:v>11</x:v>
      </x:c>
      <x:c r="C538" t="str">
        <x:v>C032</x:v>
      </x:c>
      <x:c r="D538" t="str">
        <x:v>BPO</x:v>
      </x:c>
      <x:c r="E538" t="str">
        <x:v>Q4</x:v>
      </x:c>
      <x:c r="F538" t="str">
        <x:v>継続契約</x:v>
      </x:c>
      <x:c r="G538" t="str">
        <x:v>業務運用代行</x:v>
      </x:c>
      <x:c r="H538" s="16" t="n">
        <x:v>1356000</x:v>
      </x:c>
      <x:c r="I538" s="16" t="n">
        <x:v>370000</x:v>
      </x:c>
      <x:c r="J538" s="16" t="n">
        <x:v>63000</x:v>
      </x:c>
      <x:c r="K538" s="16" t="n">
        <x:v>54000</x:v>
      </x:c>
      <x:c r="L538" s="14" t="n">
        <x:f>SUM(I538:K538)</x:f>
        <x:v>487000</x:v>
      </x:c>
      <x:c r="M538" s="14" t="n">
        <x:f>H538-L538</x:f>
        <x:v>869000</x:v>
      </x:c>
    </x:row>
    <x:row r="539">
      <x:c r="A539" t="str">
        <x:v>T0538</x:v>
      </x:c>
      <x:c r="B539" t="n">
        <x:v>11</x:v>
      </x:c>
      <x:c r="C539" t="str">
        <x:v>C033</x:v>
      </x:c>
      <x:c r="D539" t="str">
        <x:v>BPO</x:v>
      </x:c>
      <x:c r="E539" t="str">
        <x:v>Q4</x:v>
      </x:c>
      <x:c r="F539" t="str">
        <x:v>継続契約</x:v>
      </x:c>
      <x:c r="G539" t="str">
        <x:v>業務運用代行</x:v>
      </x:c>
      <x:c r="H539" s="16" t="n">
        <x:v>553000</x:v>
      </x:c>
      <x:c r="I539" s="16" t="n">
        <x:v>166000</x:v>
      </x:c>
      <x:c r="J539" s="16" t="n">
        <x:v>28000</x:v>
      </x:c>
      <x:c r="K539" s="16" t="n">
        <x:v>25000</x:v>
      </x:c>
      <x:c r="L539" s="14" t="n">
        <x:f>SUM(I539:K539)</x:f>
        <x:v>219000</x:v>
      </x:c>
      <x:c r="M539" s="14" t="n">
        <x:f>H539-L539</x:f>
        <x:v>334000</x:v>
      </x:c>
    </x:row>
    <x:row r="540">
      <x:c r="A540" t="str">
        <x:v>T0539</x:v>
      </x:c>
      <x:c r="B540" t="n">
        <x:v>11</x:v>
      </x:c>
      <x:c r="C540" t="str">
        <x:v>C033</x:v>
      </x:c>
      <x:c r="D540" t="str">
        <x:v>BPO</x:v>
      </x:c>
      <x:c r="E540" t="str">
        <x:v>Q4</x:v>
      </x:c>
      <x:c r="F540" t="str">
        <x:v>継続契約</x:v>
      </x:c>
      <x:c r="G540" t="str">
        <x:v>業務運用代行</x:v>
      </x:c>
      <x:c r="H540" s="16" t="n">
        <x:v>607000</x:v>
      </x:c>
      <x:c r="I540" s="16" t="n">
        <x:v>169000</x:v>
      </x:c>
      <x:c r="J540" s="16" t="n">
        <x:v>29000</x:v>
      </x:c>
      <x:c r="K540" s="16" t="n">
        <x:v>25000</x:v>
      </x:c>
      <x:c r="L540" s="14" t="n">
        <x:f>SUM(I540:K540)</x:f>
        <x:v>223000</x:v>
      </x:c>
      <x:c r="M540" s="14" t="n">
        <x:f>H540-L540</x:f>
        <x:v>384000</x:v>
      </x:c>
    </x:row>
    <x:row r="541">
      <x:c r="A541" t="str">
        <x:v>T0540</x:v>
      </x:c>
      <x:c r="B541" t="n">
        <x:v>11</x:v>
      </x:c>
      <x:c r="C541" t="str">
        <x:v>C034</x:v>
      </x:c>
      <x:c r="D541" t="str">
        <x:v>TRN</x:v>
      </x:c>
      <x:c r="E541" t="str">
        <x:v>Q4</x:v>
      </x:c>
      <x:c r="F541" t="str">
        <x:v>継続契約</x:v>
      </x:c>
      <x:c r="G541" t="str">
        <x:v>研修プログラム</x:v>
      </x:c>
      <x:c r="H541" s="16" t="n">
        <x:v>461000</x:v>
      </x:c>
      <x:c r="I541" s="16" t="n">
        <x:v>23000</x:v>
      </x:c>
      <x:c r="J541" s="16" t="n">
        <x:v>11000</x:v>
      </x:c>
      <x:c r="K541" s="16" t="n">
        <x:v>29000</x:v>
      </x:c>
      <x:c r="L541" s="14" t="n">
        <x:f>SUM(I541:K541)</x:f>
        <x:v>63000</x:v>
      </x:c>
      <x:c r="M541" s="14" t="n">
        <x:f>H541-L541</x:f>
        <x:v>398000</x:v>
      </x:c>
    </x:row>
    <x:row r="542">
      <x:c r="A542" t="str">
        <x:v>T0541</x:v>
      </x:c>
      <x:c r="B542" t="n">
        <x:v>11</x:v>
      </x:c>
      <x:c r="C542" t="str">
        <x:v>C034</x:v>
      </x:c>
      <x:c r="D542" t="str">
        <x:v>TRN</x:v>
      </x:c>
      <x:c r="E542" t="str">
        <x:v>Q4</x:v>
      </x:c>
      <x:c r="F542" t="str">
        <x:v>継続契約</x:v>
      </x:c>
      <x:c r="G542" t="str">
        <x:v>研修プログラム</x:v>
      </x:c>
      <x:c r="H542" s="16" t="n">
        <x:v>619000</x:v>
      </x:c>
      <x:c r="I542" s="16" t="n">
        <x:v>33000</x:v>
      </x:c>
      <x:c r="J542" s="16" t="n">
        <x:v>16000</x:v>
      </x:c>
      <x:c r="K542" s="16" t="n">
        <x:v>42000</x:v>
      </x:c>
      <x:c r="L542" s="14" t="n">
        <x:f>SUM(I542:K542)</x:f>
        <x:v>91000</x:v>
      </x:c>
      <x:c r="M542" s="14" t="n">
        <x:f>H542-L542</x:f>
        <x:v>528000</x:v>
      </x:c>
    </x:row>
    <x:row r="543">
      <x:c r="A543" t="str">
        <x:v>T0542</x:v>
      </x:c>
      <x:c r="B543" t="n">
        <x:v>11</x:v>
      </x:c>
      <x:c r="C543" t="str">
        <x:v>C035</x:v>
      </x:c>
      <x:c r="D543" t="str">
        <x:v>TRN</x:v>
      </x:c>
      <x:c r="E543" t="str">
        <x:v>Q4</x:v>
      </x:c>
      <x:c r="F543" t="str">
        <x:v>スポット中心</x:v>
      </x:c>
      <x:c r="G543" t="str">
        <x:v>研修プログラム</x:v>
      </x:c>
      <x:c r="H543" s="16" t="n">
        <x:v>402000</x:v>
      </x:c>
      <x:c r="I543" s="16" t="n">
        <x:v>19000</x:v>
      </x:c>
      <x:c r="J543" s="16" t="n">
        <x:v>10000</x:v>
      </x:c>
      <x:c r="K543" s="16" t="n">
        <x:v>25000</x:v>
      </x:c>
      <x:c r="L543" s="14" t="n">
        <x:f>SUM(I543:K543)</x:f>
        <x:v>54000</x:v>
      </x:c>
      <x:c r="M543" s="14" t="n">
        <x:f>H543-L543</x:f>
        <x:v>348000</x:v>
      </x:c>
    </x:row>
    <x:row r="544">
      <x:c r="A544" t="str">
        <x:v>T0543</x:v>
      </x:c>
      <x:c r="B544" t="n">
        <x:v>11</x:v>
      </x:c>
      <x:c r="C544" t="str">
        <x:v>C035</x:v>
      </x:c>
      <x:c r="D544" t="str">
        <x:v>TRN</x:v>
      </x:c>
      <x:c r="E544" t="str">
        <x:v>Q4</x:v>
      </x:c>
      <x:c r="F544" t="str">
        <x:v>スポット中心</x:v>
      </x:c>
      <x:c r="G544" t="str">
        <x:v>研修プログラム</x:v>
      </x:c>
      <x:c r="H544" s="16" t="n">
        <x:v>417000</x:v>
      </x:c>
      <x:c r="I544" s="16" t="n">
        <x:v>26000</x:v>
      </x:c>
      <x:c r="J544" s="16" t="n">
        <x:v>13000</x:v>
      </x:c>
      <x:c r="K544" s="16" t="n">
        <x:v>33000</x:v>
      </x:c>
      <x:c r="L544" s="14" t="n">
        <x:f>SUM(I544:K544)</x:f>
        <x:v>72000</x:v>
      </x:c>
      <x:c r="M544" s="14" t="n">
        <x:f>H544-L544</x:f>
        <x:v>345000</x:v>
      </x:c>
    </x:row>
    <x:row r="545">
      <x:c r="A545" t="str">
        <x:v>T0544</x:v>
      </x:c>
      <x:c r="B545" t="n">
        <x:v>11</x:v>
      </x:c>
      <x:c r="C545" t="str">
        <x:v>C036</x:v>
      </x:c>
      <x:c r="D545" t="str">
        <x:v>TRN</x:v>
      </x:c>
      <x:c r="E545" t="str">
        <x:v>Q4</x:v>
      </x:c>
      <x:c r="F545" t="str">
        <x:v>継続契約</x:v>
      </x:c>
      <x:c r="G545" t="str">
        <x:v>研修プログラム</x:v>
      </x:c>
      <x:c r="H545" s="16" t="n">
        <x:v>1267000</x:v>
      </x:c>
      <x:c r="I545" s="16" t="n">
        <x:v>94000</x:v>
      </x:c>
      <x:c r="J545" s="16" t="n">
        <x:v>47000</x:v>
      </x:c>
      <x:c r="K545" s="16" t="n">
        <x:v>119000</x:v>
      </x:c>
      <x:c r="L545" s="14" t="n">
        <x:f>SUM(I545:K545)</x:f>
        <x:v>260000</x:v>
      </x:c>
      <x:c r="M545" s="14" t="n">
        <x:f>H545-L545</x:f>
        <x:v>1007000</x:v>
      </x:c>
    </x:row>
    <x:row r="546">
      <x:c r="A546" t="str">
        <x:v>T0545</x:v>
      </x:c>
      <x:c r="B546" t="n">
        <x:v>11</x:v>
      </x:c>
      <x:c r="C546" t="str">
        <x:v>C037</x:v>
      </x:c>
      <x:c r="D546" t="str">
        <x:v>TRN</x:v>
      </x:c>
      <x:c r="E546" t="str">
        <x:v>Q4</x:v>
      </x:c>
      <x:c r="F546" t="str">
        <x:v>継続契約</x:v>
      </x:c>
      <x:c r="G546" t="str">
        <x:v>研修プログラム</x:v>
      </x:c>
      <x:c r="H546" s="16" t="n">
        <x:v>1142000</x:v>
      </x:c>
      <x:c r="I546" s="16" t="n">
        <x:v>93000</x:v>
      </x:c>
      <x:c r="J546" s="16" t="n">
        <x:v>46000</x:v>
      </x:c>
      <x:c r="K546" s="16" t="n">
        <x:v>119000</x:v>
      </x:c>
      <x:c r="L546" s="14" t="n">
        <x:f>SUM(I546:K546)</x:f>
        <x:v>258000</x:v>
      </x:c>
      <x:c r="M546" s="14" t="n">
        <x:f>H546-L546</x:f>
        <x:v>884000</x:v>
      </x:c>
    </x:row>
    <x:row r="547">
      <x:c r="A547" t="str">
        <x:v>T0546</x:v>
      </x:c>
      <x:c r="B547" t="n">
        <x:v>11</x:v>
      </x:c>
      <x:c r="C547" t="str">
        <x:v>C038</x:v>
      </x:c>
      <x:c r="D547" t="str">
        <x:v>TRN</x:v>
      </x:c>
      <x:c r="E547" t="str">
        <x:v>Q4</x:v>
      </x:c>
      <x:c r="F547" t="str">
        <x:v>継続契約</x:v>
      </x:c>
      <x:c r="G547" t="str">
        <x:v>研修プログラム</x:v>
      </x:c>
      <x:c r="H547" s="16" t="n">
        <x:v>745000</x:v>
      </x:c>
      <x:c r="I547" s="16" t="n">
        <x:v>54000</x:v>
      </x:c>
      <x:c r="J547" s="16" t="n">
        <x:v>27000</x:v>
      </x:c>
      <x:c r="K547" s="16" t="n">
        <x:v>69000</x:v>
      </x:c>
      <x:c r="L547" s="14" t="n">
        <x:f>SUM(I547:K547)</x:f>
        <x:v>150000</x:v>
      </x:c>
      <x:c r="M547" s="14" t="n">
        <x:f>H547-L547</x:f>
        <x:v>595000</x:v>
      </x:c>
    </x:row>
    <x:row r="548">
      <x:c r="A548" t="str">
        <x:v>T0547</x:v>
      </x:c>
      <x:c r="B548" t="n">
        <x:v>11</x:v>
      </x:c>
      <x:c r="C548" t="str">
        <x:v>C039</x:v>
      </x:c>
      <x:c r="D548" t="str">
        <x:v>TRN</x:v>
      </x:c>
      <x:c r="E548" t="str">
        <x:v>Q4</x:v>
      </x:c>
      <x:c r="F548" t="str">
        <x:v>継続契約</x:v>
      </x:c>
      <x:c r="G548" t="str">
        <x:v>研修プログラム</x:v>
      </x:c>
      <x:c r="H548" s="16" t="n">
        <x:v>360000</x:v>
      </x:c>
      <x:c r="I548" s="16" t="n">
        <x:v>24000</x:v>
      </x:c>
      <x:c r="J548" s="16" t="n">
        <x:v>12000</x:v>
      </x:c>
      <x:c r="K548" s="16" t="n">
        <x:v>30000</x:v>
      </x:c>
      <x:c r="L548" s="14" t="n">
        <x:f>SUM(I548:K548)</x:f>
        <x:v>66000</x:v>
      </x:c>
      <x:c r="M548" s="14" t="n">
        <x:f>H548-L548</x:f>
        <x:v>294000</x:v>
      </x:c>
    </x:row>
    <x:row r="549">
      <x:c r="A549" t="str">
        <x:v>T0548</x:v>
      </x:c>
      <x:c r="B549" t="n">
        <x:v>11</x:v>
      </x:c>
      <x:c r="C549" t="str">
        <x:v>C039</x:v>
      </x:c>
      <x:c r="D549" t="str">
        <x:v>TRN</x:v>
      </x:c>
      <x:c r="E549" t="str">
        <x:v>Q4</x:v>
      </x:c>
      <x:c r="F549" t="str">
        <x:v>継続契約</x:v>
      </x:c>
      <x:c r="G549" t="str">
        <x:v>研修プログラム</x:v>
      </x:c>
      <x:c r="H549" s="16" t="n">
        <x:v>432000</x:v>
      </x:c>
      <x:c r="I549" s="16" t="n">
        <x:v>36000</x:v>
      </x:c>
      <x:c r="J549" s="16" t="n">
        <x:v>18000</x:v>
      </x:c>
      <x:c r="K549" s="16" t="n">
        <x:v>45000</x:v>
      </x:c>
      <x:c r="L549" s="14" t="n">
        <x:f>SUM(I549:K549)</x:f>
        <x:v>99000</x:v>
      </x:c>
      <x:c r="M549" s="14" t="n">
        <x:f>H549-L549</x:f>
        <x:v>333000</x:v>
      </x:c>
    </x:row>
    <x:row r="550">
      <x:c r="A550" t="str">
        <x:v>T0549</x:v>
      </x:c>
      <x:c r="B550" t="n">
        <x:v>11</x:v>
      </x:c>
      <x:c r="C550" t="str">
        <x:v>C040</x:v>
      </x:c>
      <x:c r="D550" t="str">
        <x:v>TRN</x:v>
      </x:c>
      <x:c r="E550" t="str">
        <x:v>Q4</x:v>
      </x:c>
      <x:c r="F550" t="str">
        <x:v>スポット中心</x:v>
      </x:c>
      <x:c r="G550" t="str">
        <x:v>研修プログラム</x:v>
      </x:c>
      <x:c r="H550" s="16" t="n">
        <x:v>422000</x:v>
      </x:c>
      <x:c r="I550" s="16" t="n">
        <x:v>31000</x:v>
      </x:c>
      <x:c r="J550" s="16" t="n">
        <x:v>15000</x:v>
      </x:c>
      <x:c r="K550" s="16" t="n">
        <x:v>39000</x:v>
      </x:c>
      <x:c r="L550" s="14" t="n">
        <x:f>SUM(I550:K550)</x:f>
        <x:v>85000</x:v>
      </x:c>
      <x:c r="M550" s="14" t="n">
        <x:f>H550-L550</x:f>
        <x:v>337000</x:v>
      </x:c>
    </x:row>
    <x:row r="551">
      <x:c r="A551" t="str">
        <x:v>T0550</x:v>
      </x:c>
      <x:c r="B551" t="n">
        <x:v>11</x:v>
      </x:c>
      <x:c r="C551" t="str">
        <x:v>C040</x:v>
      </x:c>
      <x:c r="D551" t="str">
        <x:v>TRN</x:v>
      </x:c>
      <x:c r="E551" t="str">
        <x:v>Q4</x:v>
      </x:c>
      <x:c r="F551" t="str">
        <x:v>スポット中心</x:v>
      </x:c>
      <x:c r="G551" t="str">
        <x:v>研修プログラム</x:v>
      </x:c>
      <x:c r="H551" s="16" t="n">
        <x:v>256000</x:v>
      </x:c>
      <x:c r="I551" s="16" t="n">
        <x:v>14000</x:v>
      </x:c>
      <x:c r="J551" s="16" t="n">
        <x:v>7000</x:v>
      </x:c>
      <x:c r="K551" s="16" t="n">
        <x:v>17000</x:v>
      </x:c>
      <x:c r="L551" s="14" t="n">
        <x:f>SUM(I551:K551)</x:f>
        <x:v>38000</x:v>
      </x:c>
      <x:c r="M551" s="14" t="n">
        <x:f>H551-L551</x:f>
        <x:v>218000</x:v>
      </x:c>
    </x:row>
    <x:row r="552">
      <x:c r="A552" t="str">
        <x:v>T0551</x:v>
      </x:c>
      <x:c r="B552" t="n">
        <x:v>11</x:v>
      </x:c>
      <x:c r="C552" t="str">
        <x:v>C043</x:v>
      </x:c>
      <x:c r="D552" t="str">
        <x:v>TRN</x:v>
      </x:c>
      <x:c r="E552" t="str">
        <x:v>Q4</x:v>
      </x:c>
      <x:c r="F552" t="str">
        <x:v>継続契約</x:v>
      </x:c>
      <x:c r="G552" t="str">
        <x:v>研修プログラム</x:v>
      </x:c>
      <x:c r="H552" s="16" t="n">
        <x:v>1505000</x:v>
      </x:c>
      <x:c r="I552" s="16" t="n">
        <x:v>98000</x:v>
      </x:c>
      <x:c r="J552" s="16" t="n">
        <x:v>49000</x:v>
      </x:c>
      <x:c r="K552" s="16" t="n">
        <x:v>124000</x:v>
      </x:c>
      <x:c r="L552" s="14" t="n">
        <x:f>SUM(I552:K552)</x:f>
        <x:v>271000</x:v>
      </x:c>
      <x:c r="M552" s="14" t="n">
        <x:f>H552-L552</x:f>
        <x:v>1234000</x:v>
      </x:c>
    </x:row>
    <x:row r="553">
      <x:c r="A553" t="str">
        <x:v>T0552</x:v>
      </x:c>
      <x:c r="B553" t="n">
        <x:v>11</x:v>
      </x:c>
      <x:c r="C553" t="str">
        <x:v>C044</x:v>
      </x:c>
      <x:c r="D553" t="str">
        <x:v>TRN</x:v>
      </x:c>
      <x:c r="E553" t="str">
        <x:v>Q4</x:v>
      </x:c>
      <x:c r="F553" t="str">
        <x:v>継続契約</x:v>
      </x:c>
      <x:c r="G553" t="str">
        <x:v>研修プログラム</x:v>
      </x:c>
      <x:c r="H553" s="16" t="n">
        <x:v>716000</x:v>
      </x:c>
      <x:c r="I553" s="16" t="n">
        <x:v>43000</x:v>
      </x:c>
      <x:c r="J553" s="16" t="n">
        <x:v>21000</x:v>
      </x:c>
      <x:c r="K553" s="16" t="n">
        <x:v>55000</x:v>
      </x:c>
      <x:c r="L553" s="14" t="n">
        <x:f>SUM(I553:K553)</x:f>
        <x:v>119000</x:v>
      </x:c>
      <x:c r="M553" s="14" t="n">
        <x:f>H553-L553</x:f>
        <x:v>597000</x:v>
      </x:c>
    </x:row>
    <x:row r="554">
      <x:c r="A554" t="str">
        <x:v>T0553</x:v>
      </x:c>
      <x:c r="B554" t="n">
        <x:v>12</x:v>
      </x:c>
      <x:c r="C554" t="str">
        <x:v>C001</x:v>
      </x:c>
      <x:c r="D554" t="str">
        <x:v>IT</x:v>
      </x:c>
      <x:c r="E554" t="str">
        <x:v>Q4</x:v>
      </x:c>
      <x:c r="F554" t="str">
        <x:v>継続契約</x:v>
      </x:c>
      <x:c r="G554" t="str">
        <x:v>導入・運用支援</x:v>
      </x:c>
      <x:c r="H554" s="16" t="n">
        <x:v>2092000</x:v>
      </x:c>
      <x:c r="I554" s="16" t="n">
        <x:v>424000</x:v>
      </x:c>
      <x:c r="J554" s="16" t="n">
        <x:v>270000</x:v>
      </x:c>
      <x:c r="K554" s="16" t="n">
        <x:v>77000</x:v>
      </x:c>
      <x:c r="L554" s="14" t="n">
        <x:f>SUM(I554:K554)</x:f>
        <x:v>771000</x:v>
      </x:c>
      <x:c r="M554" s="14" t="n">
        <x:f>H554-L554</x:f>
        <x:v>1321000</x:v>
      </x:c>
    </x:row>
    <x:row r="555">
      <x:c r="A555" t="str">
        <x:v>T0554</x:v>
      </x:c>
      <x:c r="B555" t="n">
        <x:v>12</x:v>
      </x:c>
      <x:c r="C555" t="str">
        <x:v>C001</x:v>
      </x:c>
      <x:c r="D555" t="str">
        <x:v>IT</x:v>
      </x:c>
      <x:c r="E555" t="str">
        <x:v>Q4</x:v>
      </x:c>
      <x:c r="F555" t="str">
        <x:v>継続契約</x:v>
      </x:c>
      <x:c r="G555" t="str">
        <x:v>導入・運用支援</x:v>
      </x:c>
      <x:c r="H555" s="16" t="n">
        <x:v>2603000</x:v>
      </x:c>
      <x:c r="I555" s="16" t="n">
        <x:v>420000</x:v>
      </x:c>
      <x:c r="J555" s="16" t="n">
        <x:v>267000</x:v>
      </x:c>
      <x:c r="K555" s="16" t="n">
        <x:v>77000</x:v>
      </x:c>
      <x:c r="L555" s="14" t="n">
        <x:f>SUM(I555:K555)</x:f>
        <x:v>764000</x:v>
      </x:c>
      <x:c r="M555" s="14" t="n">
        <x:f>H555-L555</x:f>
        <x:v>1839000</x:v>
      </x:c>
    </x:row>
    <x:row r="556">
      <x:c r="A556" t="str">
        <x:v>T0555</x:v>
      </x:c>
      <x:c r="B556" t="n">
        <x:v>12</x:v>
      </x:c>
      <x:c r="C556" t="str">
        <x:v>C003</x:v>
      </x:c>
      <x:c r="D556" t="str">
        <x:v>IT</x:v>
      </x:c>
      <x:c r="E556" t="str">
        <x:v>Q4</x:v>
      </x:c>
      <x:c r="F556" t="str">
        <x:v>継続契約</x:v>
      </x:c>
      <x:c r="G556" t="str">
        <x:v>導入・運用支援</x:v>
      </x:c>
      <x:c r="H556" s="16" t="n">
        <x:v>1820000</x:v>
      </x:c>
      <x:c r="I556" s="16" t="n">
        <x:v>383000</x:v>
      </x:c>
      <x:c r="J556" s="16" t="n">
        <x:v>244000</x:v>
      </x:c>
      <x:c r="K556" s="16" t="n">
        <x:v>69000</x:v>
      </x:c>
      <x:c r="L556" s="14" t="n">
        <x:f>SUM(I556:K556)</x:f>
        <x:v>696000</x:v>
      </x:c>
      <x:c r="M556" s="14" t="n">
        <x:f>H556-L556</x:f>
        <x:v>1124000</x:v>
      </x:c>
    </x:row>
    <x:row r="557">
      <x:c r="A557" t="str">
        <x:v>T0556</x:v>
      </x:c>
      <x:c r="B557" t="n">
        <x:v>12</x:v>
      </x:c>
      <x:c r="C557" t="str">
        <x:v>C003</x:v>
      </x:c>
      <x:c r="D557" t="str">
        <x:v>IT</x:v>
      </x:c>
      <x:c r="E557" t="str">
        <x:v>Q4</x:v>
      </x:c>
      <x:c r="F557" t="str">
        <x:v>継続契約</x:v>
      </x:c>
      <x:c r="G557" t="str">
        <x:v>導入・運用支援</x:v>
      </x:c>
      <x:c r="H557" s="16" t="n">
        <x:v>1712000</x:v>
      </x:c>
      <x:c r="I557" s="16" t="n">
        <x:v>284000</x:v>
      </x:c>
      <x:c r="J557" s="16" t="n">
        <x:v>181000</x:v>
      </x:c>
      <x:c r="K557" s="16" t="n">
        <x:v>51000</x:v>
      </x:c>
      <x:c r="L557" s="14" t="n">
        <x:f>SUM(I557:K557)</x:f>
        <x:v>516000</x:v>
      </x:c>
      <x:c r="M557" s="14" t="n">
        <x:f>H557-L557</x:f>
        <x:v>1196000</x:v>
      </x:c>
    </x:row>
    <x:row r="558">
      <x:c r="A558" t="str">
        <x:v>T0557</x:v>
      </x:c>
      <x:c r="B558" t="n">
        <x:v>12</x:v>
      </x:c>
      <x:c r="C558" t="str">
        <x:v>C004</x:v>
      </x:c>
      <x:c r="D558" t="str">
        <x:v>IT</x:v>
      </x:c>
      <x:c r="E558" t="str">
        <x:v>Q4</x:v>
      </x:c>
      <x:c r="F558" t="str">
        <x:v>継続契約</x:v>
      </x:c>
      <x:c r="G558" t="str">
        <x:v>導入・運用支援</x:v>
      </x:c>
      <x:c r="H558" s="16" t="n">
        <x:v>664000</x:v>
      </x:c>
      <x:c r="I558" s="16" t="n">
        <x:v>130000</x:v>
      </x:c>
      <x:c r="J558" s="16" t="n">
        <x:v>83000</x:v>
      </x:c>
      <x:c r="K558" s="16" t="n">
        <x:v>24000</x:v>
      </x:c>
      <x:c r="L558" s="14" t="n">
        <x:f>SUM(I558:K558)</x:f>
        <x:v>237000</x:v>
      </x:c>
      <x:c r="M558" s="14" t="n">
        <x:f>H558-L558</x:f>
        <x:v>427000</x:v>
      </x:c>
    </x:row>
    <x:row r="559">
      <x:c r="A559" t="str">
        <x:v>T0558</x:v>
      </x:c>
      <x:c r="B559" t="n">
        <x:v>12</x:v>
      </x:c>
      <x:c r="C559" t="str">
        <x:v>C004</x:v>
      </x:c>
      <x:c r="D559" t="str">
        <x:v>IT</x:v>
      </x:c>
      <x:c r="E559" t="str">
        <x:v>Q4</x:v>
      </x:c>
      <x:c r="F559" t="str">
        <x:v>継続契約</x:v>
      </x:c>
      <x:c r="G559" t="str">
        <x:v>導入・運用支援</x:v>
      </x:c>
      <x:c r="H559" s="16" t="n">
        <x:v>695000</x:v>
      </x:c>
      <x:c r="I559" s="16" t="n">
        <x:v>118000</x:v>
      </x:c>
      <x:c r="J559" s="16" t="n">
        <x:v>75000</x:v>
      </x:c>
      <x:c r="K559" s="16" t="n">
        <x:v>22000</x:v>
      </x:c>
      <x:c r="L559" s="14" t="n">
        <x:f>SUM(I559:K559)</x:f>
        <x:v>215000</x:v>
      </x:c>
      <x:c r="M559" s="14" t="n">
        <x:f>H559-L559</x:f>
        <x:v>480000</x:v>
      </x:c>
    </x:row>
    <x:row r="560">
      <x:c r="A560" t="str">
        <x:v>T0559</x:v>
      </x:c>
      <x:c r="B560" t="n">
        <x:v>12</x:v>
      </x:c>
      <x:c r="C560" t="str">
        <x:v>C005</x:v>
      </x:c>
      <x:c r="D560" t="str">
        <x:v>IT</x:v>
      </x:c>
      <x:c r="E560" t="str">
        <x:v>Q4</x:v>
      </x:c>
      <x:c r="F560" t="str">
        <x:v>スポット中心</x:v>
      </x:c>
      <x:c r="G560" t="str">
        <x:v>導入・運用支援</x:v>
      </x:c>
      <x:c r="H560" s="16" t="n">
        <x:v>679000</x:v>
      </x:c>
      <x:c r="I560" s="16" t="n">
        <x:v>118000</x:v>
      </x:c>
      <x:c r="J560" s="16" t="n">
        <x:v>75000</x:v>
      </x:c>
      <x:c r="K560" s="16" t="n">
        <x:v>22000</x:v>
      </x:c>
      <x:c r="L560" s="14" t="n">
        <x:f>SUM(I560:K560)</x:f>
        <x:v>215000</x:v>
      </x:c>
      <x:c r="M560" s="14" t="n">
        <x:f>H560-L560</x:f>
        <x:v>464000</x:v>
      </x:c>
    </x:row>
    <x:row r="561">
      <x:c r="A561" t="str">
        <x:v>T0560</x:v>
      </x:c>
      <x:c r="B561" t="n">
        <x:v>12</x:v>
      </x:c>
      <x:c r="C561" t="str">
        <x:v>C005</x:v>
      </x:c>
      <x:c r="D561" t="str">
        <x:v>IT</x:v>
      </x:c>
      <x:c r="E561" t="str">
        <x:v>Q4</x:v>
      </x:c>
      <x:c r="F561" t="str">
        <x:v>スポット中心</x:v>
      </x:c>
      <x:c r="G561" t="str">
        <x:v>導入・運用支援</x:v>
      </x:c>
      <x:c r="H561" s="16" t="n">
        <x:v>835000</x:v>
      </x:c>
      <x:c r="I561" s="16" t="n">
        <x:v>178000</x:v>
      </x:c>
      <x:c r="J561" s="16" t="n">
        <x:v>113000</x:v>
      </x:c>
      <x:c r="K561" s="16" t="n">
        <x:v>33000</x:v>
      </x:c>
      <x:c r="L561" s="14" t="n">
        <x:f>SUM(I561:K561)</x:f>
        <x:v>324000</x:v>
      </x:c>
      <x:c r="M561" s="14" t="n">
        <x:f>H561-L561</x:f>
        <x:v>511000</x:v>
      </x:c>
    </x:row>
    <x:row r="562">
      <x:c r="A562" t="str">
        <x:v>T0561</x:v>
      </x:c>
      <x:c r="B562" t="n">
        <x:v>12</x:v>
      </x:c>
      <x:c r="C562" t="str">
        <x:v>C006</x:v>
      </x:c>
      <x:c r="D562" t="str">
        <x:v>IT</x:v>
      </x:c>
      <x:c r="E562" t="str">
        <x:v>Q4</x:v>
      </x:c>
      <x:c r="F562" t="str">
        <x:v>継続契約</x:v>
      </x:c>
      <x:c r="G562" t="str">
        <x:v>導入・運用支援</x:v>
      </x:c>
      <x:c r="H562" s="16" t="n">
        <x:v>615000</x:v>
      </x:c>
      <x:c r="I562" s="16" t="n">
        <x:v>134000</x:v>
      </x:c>
      <x:c r="J562" s="16" t="n">
        <x:v>85000</x:v>
      </x:c>
      <x:c r="K562" s="16" t="n">
        <x:v>25000</x:v>
      </x:c>
      <x:c r="L562" s="14" t="n">
        <x:f>SUM(I562:K562)</x:f>
        <x:v>244000</x:v>
      </x:c>
      <x:c r="M562" s="14" t="n">
        <x:f>H562-L562</x:f>
        <x:v>371000</x:v>
      </x:c>
    </x:row>
    <x:row r="563">
      <x:c r="A563" t="str">
        <x:v>T0562</x:v>
      </x:c>
      <x:c r="B563" t="n">
        <x:v>12</x:v>
      </x:c>
      <x:c r="C563" t="str">
        <x:v>C006</x:v>
      </x:c>
      <x:c r="D563" t="str">
        <x:v>IT</x:v>
      </x:c>
      <x:c r="E563" t="str">
        <x:v>Q4</x:v>
      </x:c>
      <x:c r="F563" t="str">
        <x:v>継続契約</x:v>
      </x:c>
      <x:c r="G563" t="str">
        <x:v>導入・運用支援</x:v>
      </x:c>
      <x:c r="H563" s="16" t="n">
        <x:v>555000</x:v>
      </x:c>
      <x:c r="I563" s="16" t="n">
        <x:v>117000</x:v>
      </x:c>
      <x:c r="J563" s="16" t="n">
        <x:v>75000</x:v>
      </x:c>
      <x:c r="K563" s="16" t="n">
        <x:v>21000</x:v>
      </x:c>
      <x:c r="L563" s="14" t="n">
        <x:f>SUM(I563:K563)</x:f>
        <x:v>213000</x:v>
      </x:c>
      <x:c r="M563" s="14" t="n">
        <x:f>H563-L563</x:f>
        <x:v>342000</x:v>
      </x:c>
    </x:row>
    <x:row r="564">
      <x:c r="A564" t="str">
        <x:v>T0563</x:v>
      </x:c>
      <x:c r="B564" t="n">
        <x:v>12</x:v>
      </x:c>
      <x:c r="C564" t="str">
        <x:v>C007</x:v>
      </x:c>
      <x:c r="D564" t="str">
        <x:v>IT</x:v>
      </x:c>
      <x:c r="E564" t="str">
        <x:v>Q4</x:v>
      </x:c>
      <x:c r="F564" t="str">
        <x:v>継続契約</x:v>
      </x:c>
      <x:c r="G564" t="str">
        <x:v>導入・運用支援</x:v>
      </x:c>
      <x:c r="H564" s="16" t="n">
        <x:v>1250000</x:v>
      </x:c>
      <x:c r="I564" s="16" t="n">
        <x:v>279000</x:v>
      </x:c>
      <x:c r="J564" s="16" t="n">
        <x:v>177000</x:v>
      </x:c>
      <x:c r="K564" s="16" t="n">
        <x:v>51000</x:v>
      </x:c>
      <x:c r="L564" s="14" t="n">
        <x:f>SUM(I564:K564)</x:f>
        <x:v>507000</x:v>
      </x:c>
      <x:c r="M564" s="14" t="n">
        <x:f>H564-L564</x:f>
        <x:v>743000</x:v>
      </x:c>
    </x:row>
    <x:row r="565">
      <x:c r="A565" t="str">
        <x:v>T0564</x:v>
      </x:c>
      <x:c r="B565" t="n">
        <x:v>12</x:v>
      </x:c>
      <x:c r="C565" t="str">
        <x:v>C008</x:v>
      </x:c>
      <x:c r="D565" t="str">
        <x:v>IT</x:v>
      </x:c>
      <x:c r="E565" t="str">
        <x:v>Q4</x:v>
      </x:c>
      <x:c r="F565" t="str">
        <x:v>継続契約</x:v>
      </x:c>
      <x:c r="G565" t="str">
        <x:v>導入・運用支援</x:v>
      </x:c>
      <x:c r="H565" s="16" t="n">
        <x:v>1309000</x:v>
      </x:c>
      <x:c r="I565" s="16" t="n">
        <x:v>246000</x:v>
      </x:c>
      <x:c r="J565" s="16" t="n">
        <x:v>157000</x:v>
      </x:c>
      <x:c r="K565" s="16" t="n">
        <x:v>45000</x:v>
      </x:c>
      <x:c r="L565" s="14" t="n">
        <x:f>SUM(I565:K565)</x:f>
        <x:v>448000</x:v>
      </x:c>
      <x:c r="M565" s="14" t="n">
        <x:f>H565-L565</x:f>
        <x:v>861000</x:v>
      </x:c>
    </x:row>
    <x:row r="566">
      <x:c r="A566" t="str">
        <x:v>T0565</x:v>
      </x:c>
      <x:c r="B566" t="n">
        <x:v>12</x:v>
      </x:c>
      <x:c r="C566" t="str">
        <x:v>C009</x:v>
      </x:c>
      <x:c r="D566" t="str">
        <x:v>IT</x:v>
      </x:c>
      <x:c r="E566" t="str">
        <x:v>Q4</x:v>
      </x:c>
      <x:c r="F566" t="str">
        <x:v>継続契約</x:v>
      </x:c>
      <x:c r="G566" t="str">
        <x:v>導入・運用支援</x:v>
      </x:c>
      <x:c r="H566" s="16" t="n">
        <x:v>597000</x:v>
      </x:c>
      <x:c r="I566" s="16" t="n">
        <x:v>129000</x:v>
      </x:c>
      <x:c r="J566" s="16" t="n">
        <x:v>82000</x:v>
      </x:c>
      <x:c r="K566" s="16" t="n">
        <x:v>24000</x:v>
      </x:c>
      <x:c r="L566" s="14" t="n">
        <x:f>SUM(I566:K566)</x:f>
        <x:v>235000</x:v>
      </x:c>
      <x:c r="M566" s="14" t="n">
        <x:f>H566-L566</x:f>
        <x:v>362000</x:v>
      </x:c>
    </x:row>
    <x:row r="567">
      <x:c r="A567" t="str">
        <x:v>T0566</x:v>
      </x:c>
      <x:c r="B567" t="n">
        <x:v>12</x:v>
      </x:c>
      <x:c r="C567" t="str">
        <x:v>C009</x:v>
      </x:c>
      <x:c r="D567" t="str">
        <x:v>IT</x:v>
      </x:c>
      <x:c r="E567" t="str">
        <x:v>Q4</x:v>
      </x:c>
      <x:c r="F567" t="str">
        <x:v>継続契約</x:v>
      </x:c>
      <x:c r="G567" t="str">
        <x:v>導入・運用支援</x:v>
      </x:c>
      <x:c r="H567" s="16" t="n">
        <x:v>714000</x:v>
      </x:c>
      <x:c r="I567" s="16" t="n">
        <x:v>130000</x:v>
      </x:c>
      <x:c r="J567" s="16" t="n">
        <x:v>83000</x:v>
      </x:c>
      <x:c r="K567" s="16" t="n">
        <x:v>23000</x:v>
      </x:c>
      <x:c r="L567" s="14" t="n">
        <x:f>SUM(I567:K567)</x:f>
        <x:v>236000</x:v>
      </x:c>
      <x:c r="M567" s="14" t="n">
        <x:f>H567-L567</x:f>
        <x:v>478000</x:v>
      </x:c>
    </x:row>
    <x:row r="568">
      <x:c r="A568" t="str">
        <x:v>T0567</x:v>
      </x:c>
      <x:c r="B568" t="n">
        <x:v>12</x:v>
      </x:c>
      <x:c r="C568" t="str">
        <x:v>C011</x:v>
      </x:c>
      <x:c r="D568" t="str">
        <x:v>IT</x:v>
      </x:c>
      <x:c r="E568" t="str">
        <x:v>Q4</x:v>
      </x:c>
      <x:c r="F568" t="str">
        <x:v>継続契約</x:v>
      </x:c>
      <x:c r="G568" t="str">
        <x:v>導入・運用支援</x:v>
      </x:c>
      <x:c r="H568" s="16" t="n">
        <x:v>717000</x:v>
      </x:c>
      <x:c r="I568" s="16" t="n">
        <x:v>150000</x:v>
      </x:c>
      <x:c r="J568" s="16" t="n">
        <x:v>96000</x:v>
      </x:c>
      <x:c r="K568" s="16" t="n">
        <x:v>27000</x:v>
      </x:c>
      <x:c r="L568" s="14" t="n">
        <x:f>SUM(I568:K568)</x:f>
        <x:v>273000</x:v>
      </x:c>
      <x:c r="M568" s="14" t="n">
        <x:f>H568-L568</x:f>
        <x:v>444000</x:v>
      </x:c>
    </x:row>
    <x:row r="569">
      <x:c r="A569" t="str">
        <x:v>T0568</x:v>
      </x:c>
      <x:c r="B569" t="n">
        <x:v>12</x:v>
      </x:c>
      <x:c r="C569" t="str">
        <x:v>C011</x:v>
      </x:c>
      <x:c r="D569" t="str">
        <x:v>IT</x:v>
      </x:c>
      <x:c r="E569" t="str">
        <x:v>Q4</x:v>
      </x:c>
      <x:c r="F569" t="str">
        <x:v>継続契約</x:v>
      </x:c>
      <x:c r="G569" t="str">
        <x:v>導入・運用支援</x:v>
      </x:c>
      <x:c r="H569" s="16" t="n">
        <x:v>646000</x:v>
      </x:c>
      <x:c r="I569" s="16" t="n">
        <x:v>139000</x:v>
      </x:c>
      <x:c r="J569" s="16" t="n">
        <x:v>88000</x:v>
      </x:c>
      <x:c r="K569" s="16" t="n">
        <x:v>25000</x:v>
      </x:c>
      <x:c r="L569" s="14" t="n">
        <x:f>SUM(I569:K569)</x:f>
        <x:v>252000</x:v>
      </x:c>
      <x:c r="M569" s="14" t="n">
        <x:f>H569-L569</x:f>
        <x:v>394000</x:v>
      </x:c>
    </x:row>
    <x:row r="570">
      <x:c r="A570" t="str">
        <x:v>T0569</x:v>
      </x:c>
      <x:c r="B570" t="n">
        <x:v>12</x:v>
      </x:c>
      <x:c r="C570" t="str">
        <x:v>C012</x:v>
      </x:c>
      <x:c r="D570" t="str">
        <x:v>IT</x:v>
      </x:c>
      <x:c r="E570" t="str">
        <x:v>Q4</x:v>
      </x:c>
      <x:c r="F570" t="str">
        <x:v>継続契約</x:v>
      </x:c>
      <x:c r="G570" t="str">
        <x:v>導入・運用支援</x:v>
      </x:c>
      <x:c r="H570" s="16" t="n">
        <x:v>525000</x:v>
      </x:c>
      <x:c r="I570" s="16" t="n">
        <x:v>114000</x:v>
      </x:c>
      <x:c r="J570" s="16" t="n">
        <x:v>72000</x:v>
      </x:c>
      <x:c r="K570" s="16" t="n">
        <x:v>21000</x:v>
      </x:c>
      <x:c r="L570" s="14" t="n">
        <x:f>SUM(I570:K570)</x:f>
        <x:v>207000</x:v>
      </x:c>
      <x:c r="M570" s="14" t="n">
        <x:f>H570-L570</x:f>
        <x:v>318000</x:v>
      </x:c>
    </x:row>
    <x:row r="571">
      <x:c r="A571" t="str">
        <x:v>T0570</x:v>
      </x:c>
      <x:c r="B571" t="n">
        <x:v>12</x:v>
      </x:c>
      <x:c r="C571" t="str">
        <x:v>C012</x:v>
      </x:c>
      <x:c r="D571" t="str">
        <x:v>IT</x:v>
      </x:c>
      <x:c r="E571" t="str">
        <x:v>Q4</x:v>
      </x:c>
      <x:c r="F571" t="str">
        <x:v>継続契約</x:v>
      </x:c>
      <x:c r="G571" t="str">
        <x:v>導入・運用支援</x:v>
      </x:c>
      <x:c r="H571" s="16" t="n">
        <x:v>826000</x:v>
      </x:c>
      <x:c r="I571" s="16" t="n">
        <x:v>169000</x:v>
      </x:c>
      <x:c r="J571" s="16" t="n">
        <x:v>108000</x:v>
      </x:c>
      <x:c r="K571" s="16" t="n">
        <x:v>31000</x:v>
      </x:c>
      <x:c r="L571" s="14" t="n">
        <x:f>SUM(I571:K571)</x:f>
        <x:v>308000</x:v>
      </x:c>
      <x:c r="M571" s="14" t="n">
        <x:f>H571-L571</x:f>
        <x:v>518000</x:v>
      </x:c>
    </x:row>
    <x:row r="572">
      <x:c r="A572" t="str">
        <x:v>T0571</x:v>
      </x:c>
      <x:c r="B572" t="n">
        <x:v>12</x:v>
      </x:c>
      <x:c r="C572" t="str">
        <x:v>C013</x:v>
      </x:c>
      <x:c r="D572" t="str">
        <x:v>IT</x:v>
      </x:c>
      <x:c r="E572" t="str">
        <x:v>Q4</x:v>
      </x:c>
      <x:c r="F572" t="str">
        <x:v>継続契約</x:v>
      </x:c>
      <x:c r="G572" t="str">
        <x:v>導入・運用支援</x:v>
      </x:c>
      <x:c r="H572" s="16" t="n">
        <x:v>547000</x:v>
      </x:c>
      <x:c r="I572" s="16" t="n">
        <x:v>103000</x:v>
      </x:c>
      <x:c r="J572" s="16" t="n">
        <x:v>66000</x:v>
      </x:c>
      <x:c r="K572" s="16" t="n">
        <x:v>19000</x:v>
      </x:c>
      <x:c r="L572" s="14" t="n">
        <x:f>SUM(I572:K572)</x:f>
        <x:v>188000</x:v>
      </x:c>
      <x:c r="M572" s="14" t="n">
        <x:f>H572-L572</x:f>
        <x:v>359000</x:v>
      </x:c>
    </x:row>
    <x:row r="573">
      <x:c r="A573" t="str">
        <x:v>T0572</x:v>
      </x:c>
      <x:c r="B573" t="n">
        <x:v>12</x:v>
      </x:c>
      <x:c r="C573" t="str">
        <x:v>C013</x:v>
      </x:c>
      <x:c r="D573" t="str">
        <x:v>IT</x:v>
      </x:c>
      <x:c r="E573" t="str">
        <x:v>Q4</x:v>
      </x:c>
      <x:c r="F573" t="str">
        <x:v>継続契約</x:v>
      </x:c>
      <x:c r="G573" t="str">
        <x:v>導入・運用支援</x:v>
      </x:c>
      <x:c r="H573" s="16" t="n">
        <x:v>739000</x:v>
      </x:c>
      <x:c r="I573" s="16" t="n">
        <x:v>137000</x:v>
      </x:c>
      <x:c r="J573" s="16" t="n">
        <x:v>87000</x:v>
      </x:c>
      <x:c r="K573" s="16" t="n">
        <x:v>25000</x:v>
      </x:c>
      <x:c r="L573" s="14" t="n">
        <x:f>SUM(I573:K573)</x:f>
        <x:v>249000</x:v>
      </x:c>
      <x:c r="M573" s="14" t="n">
        <x:f>H573-L573</x:f>
        <x:v>490000</x:v>
      </x:c>
    </x:row>
    <x:row r="574">
      <x:c r="A574" t="str">
        <x:v>T0573</x:v>
      </x:c>
      <x:c r="B574" t="n">
        <x:v>12</x:v>
      </x:c>
      <x:c r="C574" t="str">
        <x:v>C014</x:v>
      </x:c>
      <x:c r="D574" t="str">
        <x:v>IT</x:v>
      </x:c>
      <x:c r="E574" t="str">
        <x:v>Q4</x:v>
      </x:c>
      <x:c r="F574" t="str">
        <x:v>継続契約</x:v>
      </x:c>
      <x:c r="G574" t="str">
        <x:v>導入・運用支援</x:v>
      </x:c>
      <x:c r="H574" s="16" t="n">
        <x:v>901000</x:v>
      </x:c>
      <x:c r="I574" s="16" t="n">
        <x:v>199000</x:v>
      </x:c>
      <x:c r="J574" s="16" t="n">
        <x:v>126000</x:v>
      </x:c>
      <x:c r="K574" s="16" t="n">
        <x:v>36000</x:v>
      </x:c>
      <x:c r="L574" s="14" t="n">
        <x:f>SUM(I574:K574)</x:f>
        <x:v>361000</x:v>
      </x:c>
      <x:c r="M574" s="14" t="n">
        <x:f>H574-L574</x:f>
        <x:v>540000</x:v>
      </x:c>
    </x:row>
    <x:row r="575">
      <x:c r="A575" t="str">
        <x:v>T0574</x:v>
      </x:c>
      <x:c r="B575" t="n">
        <x:v>12</x:v>
      </x:c>
      <x:c r="C575" t="str">
        <x:v>C014</x:v>
      </x:c>
      <x:c r="D575" t="str">
        <x:v>IT</x:v>
      </x:c>
      <x:c r="E575" t="str">
        <x:v>Q4</x:v>
      </x:c>
      <x:c r="F575" t="str">
        <x:v>継続契約</x:v>
      </x:c>
      <x:c r="G575" t="str">
        <x:v>導入・運用支援</x:v>
      </x:c>
      <x:c r="H575" s="16" t="n">
        <x:v>621000</x:v>
      </x:c>
      <x:c r="I575" s="16" t="n">
        <x:v>108000</x:v>
      </x:c>
      <x:c r="J575" s="16" t="n">
        <x:v>69000</x:v>
      </x:c>
      <x:c r="K575" s="16" t="n">
        <x:v>19000</x:v>
      </x:c>
      <x:c r="L575" s="14" t="n">
        <x:f>SUM(I575:K575)</x:f>
        <x:v>196000</x:v>
      </x:c>
      <x:c r="M575" s="14" t="n">
        <x:f>H575-L575</x:f>
        <x:v>425000</x:v>
      </x:c>
    </x:row>
    <x:row r="576">
      <x:c r="A576" t="str">
        <x:v>T0575</x:v>
      </x:c>
      <x:c r="B576" t="n">
        <x:v>12</x:v>
      </x:c>
      <x:c r="C576" t="str">
        <x:v>C015</x:v>
      </x:c>
      <x:c r="D576" t="str">
        <x:v>IT</x:v>
      </x:c>
      <x:c r="E576" t="str">
        <x:v>Q4</x:v>
      </x:c>
      <x:c r="F576" t="str">
        <x:v>スポット中心</x:v>
      </x:c>
      <x:c r="G576" t="str">
        <x:v>導入・運用支援</x:v>
      </x:c>
      <x:c r="H576" s="16" t="n">
        <x:v>1508000</x:v>
      </x:c>
      <x:c r="I576" s="16" t="n">
        <x:v>321000</x:v>
      </x:c>
      <x:c r="J576" s="16" t="n">
        <x:v>204000</x:v>
      </x:c>
      <x:c r="K576" s="16" t="n">
        <x:v>59000</x:v>
      </x:c>
      <x:c r="L576" s="14" t="n">
        <x:f>SUM(I576:K576)</x:f>
        <x:v>584000</x:v>
      </x:c>
      <x:c r="M576" s="14" t="n">
        <x:f>H576-L576</x:f>
        <x:v>924000</x:v>
      </x:c>
    </x:row>
    <x:row r="577">
      <x:c r="A577" t="str">
        <x:v>T0576</x:v>
      </x:c>
      <x:c r="B577" t="n">
        <x:v>12</x:v>
      </x:c>
      <x:c r="C577" t="str">
        <x:v>C017</x:v>
      </x:c>
      <x:c r="D577" t="str">
        <x:v>IT</x:v>
      </x:c>
      <x:c r="E577" t="str">
        <x:v>Q4</x:v>
      </x:c>
      <x:c r="F577" t="str">
        <x:v>継続契約</x:v>
      </x:c>
      <x:c r="G577" t="str">
        <x:v>導入・運用支援</x:v>
      </x:c>
      <x:c r="H577" s="16" t="n">
        <x:v>1387000</x:v>
      </x:c>
      <x:c r="I577" s="16" t="n">
        <x:v>255000</x:v>
      </x:c>
      <x:c r="J577" s="16" t="n">
        <x:v>162000</x:v>
      </x:c>
      <x:c r="K577" s="16" t="n">
        <x:v>46000</x:v>
      </x:c>
      <x:c r="L577" s="14" t="n">
        <x:f>SUM(I577:K577)</x:f>
        <x:v>463000</x:v>
      </x:c>
      <x:c r="M577" s="14" t="n">
        <x:f>H577-L577</x:f>
        <x:v>924000</x:v>
      </x:c>
    </x:row>
    <x:row r="578">
      <x:c r="A578" t="str">
        <x:v>T0577</x:v>
      </x:c>
      <x:c r="B578" t="n">
        <x:v>12</x:v>
      </x:c>
      <x:c r="C578" t="str">
        <x:v>C018</x:v>
      </x:c>
      <x:c r="D578" t="str">
        <x:v>IT</x:v>
      </x:c>
      <x:c r="E578" t="str">
        <x:v>Q4</x:v>
      </x:c>
      <x:c r="F578" t="str">
        <x:v>継続契約</x:v>
      </x:c>
      <x:c r="G578" t="str">
        <x:v>導入・運用支援</x:v>
      </x:c>
      <x:c r="H578" s="16" t="n">
        <x:v>538000</x:v>
      </x:c>
      <x:c r="I578" s="16" t="n">
        <x:v>96000</x:v>
      </x:c>
      <x:c r="J578" s="16" t="n">
        <x:v>61000</x:v>
      </x:c>
      <x:c r="K578" s="16" t="n">
        <x:v>17000</x:v>
      </x:c>
      <x:c r="L578" s="14" t="n">
        <x:f>SUM(I578:K578)</x:f>
        <x:v>174000</x:v>
      </x:c>
      <x:c r="M578" s="14" t="n">
        <x:f>H578-L578</x:f>
        <x:v>364000</x:v>
      </x:c>
    </x:row>
    <x:row r="579">
      <x:c r="A579" t="str">
        <x:v>T0578</x:v>
      </x:c>
      <x:c r="B579" t="n">
        <x:v>12</x:v>
      </x:c>
      <x:c r="C579" t="str">
        <x:v>C018</x:v>
      </x:c>
      <x:c r="D579" t="str">
        <x:v>IT</x:v>
      </x:c>
      <x:c r="E579" t="str">
        <x:v>Q4</x:v>
      </x:c>
      <x:c r="F579" t="str">
        <x:v>継続契約</x:v>
      </x:c>
      <x:c r="G579" t="str">
        <x:v>導入・運用支援</x:v>
      </x:c>
      <x:c r="H579" s="16" t="n">
        <x:v>755000</x:v>
      </x:c>
      <x:c r="I579" s="16" t="n">
        <x:v>148000</x:v>
      </x:c>
      <x:c r="J579" s="16" t="n">
        <x:v>94000</x:v>
      </x:c>
      <x:c r="K579" s="16" t="n">
        <x:v>28000</x:v>
      </x:c>
      <x:c r="L579" s="14" t="n">
        <x:f>SUM(I579:K579)</x:f>
        <x:v>270000</x:v>
      </x:c>
      <x:c r="M579" s="14" t="n">
        <x:f>H579-L579</x:f>
        <x:v>485000</x:v>
      </x:c>
    </x:row>
    <x:row r="580">
      <x:c r="A580" t="str">
        <x:v>T0579</x:v>
      </x:c>
      <x:c r="B580" t="n">
        <x:v>12</x:v>
      </x:c>
      <x:c r="C580" t="str">
        <x:v>C019</x:v>
      </x:c>
      <x:c r="D580" t="str">
        <x:v>BPO</x:v>
      </x:c>
      <x:c r="E580" t="str">
        <x:v>Q4</x:v>
      </x:c>
      <x:c r="F580" t="str">
        <x:v>継続契約</x:v>
      </x:c>
      <x:c r="G580" t="str">
        <x:v>業務運用代行</x:v>
      </x:c>
      <x:c r="H580" s="16" t="n">
        <x:v>1056000</x:v>
      </x:c>
      <x:c r="I580" s="16" t="n">
        <x:v>288000</x:v>
      </x:c>
      <x:c r="J580" s="16" t="n">
        <x:v>49000</x:v>
      </x:c>
      <x:c r="K580" s="16" t="n">
        <x:v>42000</x:v>
      </x:c>
      <x:c r="L580" s="14" t="n">
        <x:f>SUM(I580:K580)</x:f>
        <x:v>379000</x:v>
      </x:c>
      <x:c r="M580" s="14" t="n">
        <x:f>H580-L580</x:f>
        <x:v>677000</x:v>
      </x:c>
    </x:row>
    <x:row r="581">
      <x:c r="A581" t="str">
        <x:v>T0580</x:v>
      </x:c>
      <x:c r="B581" t="n">
        <x:v>12</x:v>
      </x:c>
      <x:c r="C581" t="str">
        <x:v>C019</x:v>
      </x:c>
      <x:c r="D581" t="str">
        <x:v>BPO</x:v>
      </x:c>
      <x:c r="E581" t="str">
        <x:v>Q4</x:v>
      </x:c>
      <x:c r="F581" t="str">
        <x:v>継続契約</x:v>
      </x:c>
      <x:c r="G581" t="str">
        <x:v>業務運用代行</x:v>
      </x:c>
      <x:c r="H581" s="16" t="n">
        <x:v>826000</x:v>
      </x:c>
      <x:c r="I581" s="16" t="n">
        <x:v>268000</x:v>
      </x:c>
      <x:c r="J581" s="16" t="n">
        <x:v>46000</x:v>
      </x:c>
      <x:c r="K581" s="16" t="n">
        <x:v>38000</x:v>
      </x:c>
      <x:c r="L581" s="14" t="n">
        <x:f>SUM(I581:K581)</x:f>
        <x:v>352000</x:v>
      </x:c>
      <x:c r="M581" s="14" t="n">
        <x:f>H581-L581</x:f>
        <x:v>474000</x:v>
      </x:c>
    </x:row>
    <x:row r="582">
      <x:c r="A582" t="str">
        <x:v>T0581</x:v>
      </x:c>
      <x:c r="B582" t="n">
        <x:v>12</x:v>
      </x:c>
      <x:c r="C582" t="str">
        <x:v>C020</x:v>
      </x:c>
      <x:c r="D582" t="str">
        <x:v>BPO</x:v>
      </x:c>
      <x:c r="E582" t="str">
        <x:v>Q4</x:v>
      </x:c>
      <x:c r="F582" t="str">
        <x:v>継続契約</x:v>
      </x:c>
      <x:c r="G582" t="str">
        <x:v>業務運用代行</x:v>
      </x:c>
      <x:c r="H582" s="16" t="n">
        <x:v>2209000</x:v>
      </x:c>
      <x:c r="I582" s="16" t="n">
        <x:v>692000</x:v>
      </x:c>
      <x:c r="J582" s="16" t="n">
        <x:v>118000</x:v>
      </x:c>
      <x:c r="K582" s="16" t="n">
        <x:v>101000</x:v>
      </x:c>
      <x:c r="L582" s="14" t="n">
        <x:f>SUM(I582:K582)</x:f>
        <x:v>911000</x:v>
      </x:c>
      <x:c r="M582" s="14" t="n">
        <x:f>H582-L582</x:f>
        <x:v>1298000</x:v>
      </x:c>
    </x:row>
    <x:row r="583">
      <x:c r="A583" t="str">
        <x:v>T0582</x:v>
      </x:c>
      <x:c r="B583" t="n">
        <x:v>12</x:v>
      </x:c>
      <x:c r="C583" t="str">
        <x:v>C021</x:v>
      </x:c>
      <x:c r="D583" t="str">
        <x:v>BPO</x:v>
      </x:c>
      <x:c r="E583" t="str">
        <x:v>Q4</x:v>
      </x:c>
      <x:c r="F583" t="str">
        <x:v>継続契約</x:v>
      </x:c>
      <x:c r="G583" t="str">
        <x:v>業務運用代行</x:v>
      </x:c>
      <x:c r="H583" s="16" t="n">
        <x:v>1141000</x:v>
      </x:c>
      <x:c r="I583" s="16" t="n">
        <x:v>306000</x:v>
      </x:c>
      <x:c r="J583" s="16" t="n">
        <x:v>52000</x:v>
      </x:c>
      <x:c r="K583" s="16" t="n">
        <x:v>45000</x:v>
      </x:c>
      <x:c r="L583" s="14" t="n">
        <x:f>SUM(I583:K583)</x:f>
        <x:v>403000</x:v>
      </x:c>
      <x:c r="M583" s="14" t="n">
        <x:f>H583-L583</x:f>
        <x:v>738000</x:v>
      </x:c>
    </x:row>
    <x:row r="584">
      <x:c r="A584" t="str">
        <x:v>T0583</x:v>
      </x:c>
      <x:c r="B584" t="n">
        <x:v>12</x:v>
      </x:c>
      <x:c r="C584" t="str">
        <x:v>C022</x:v>
      </x:c>
      <x:c r="D584" t="str">
        <x:v>BPO</x:v>
      </x:c>
      <x:c r="E584" t="str">
        <x:v>Q4</x:v>
      </x:c>
      <x:c r="F584" t="str">
        <x:v>継続契約</x:v>
      </x:c>
      <x:c r="G584" t="str">
        <x:v>業務運用代行</x:v>
      </x:c>
      <x:c r="H584" s="16" t="n">
        <x:v>1478000</x:v>
      </x:c>
      <x:c r="I584" s="16" t="n">
        <x:v>457000</x:v>
      </x:c>
      <x:c r="J584" s="16" t="n">
        <x:v>78000</x:v>
      </x:c>
      <x:c r="K584" s="16" t="n">
        <x:v>66000</x:v>
      </x:c>
      <x:c r="L584" s="14" t="n">
        <x:f>SUM(I584:K584)</x:f>
        <x:v>601000</x:v>
      </x:c>
      <x:c r="M584" s="14" t="n">
        <x:f>H584-L584</x:f>
        <x:v>877000</x:v>
      </x:c>
    </x:row>
    <x:row r="585">
      <x:c r="A585" t="str">
        <x:v>T0584</x:v>
      </x:c>
      <x:c r="B585" t="n">
        <x:v>12</x:v>
      </x:c>
      <x:c r="C585" t="str">
        <x:v>C023</x:v>
      </x:c>
      <x:c r="D585" t="str">
        <x:v>BPO</x:v>
      </x:c>
      <x:c r="E585" t="str">
        <x:v>Q4</x:v>
      </x:c>
      <x:c r="F585" t="str">
        <x:v>継続契約</x:v>
      </x:c>
      <x:c r="G585" t="str">
        <x:v>業務運用代行</x:v>
      </x:c>
      <x:c r="H585" s="16" t="n">
        <x:v>708000</x:v>
      </x:c>
      <x:c r="I585" s="16" t="n">
        <x:v>220000</x:v>
      </x:c>
      <x:c r="J585" s="16" t="n">
        <x:v>38000</x:v>
      </x:c>
      <x:c r="K585" s="16" t="n">
        <x:v>32000</x:v>
      </x:c>
      <x:c r="L585" s="14" t="n">
        <x:f>SUM(I585:K585)</x:f>
        <x:v>290000</x:v>
      </x:c>
      <x:c r="M585" s="14" t="n">
        <x:f>H585-L585</x:f>
        <x:v>418000</x:v>
      </x:c>
    </x:row>
    <x:row r="586">
      <x:c r="A586" t="str">
        <x:v>T0585</x:v>
      </x:c>
      <x:c r="B586" t="n">
        <x:v>12</x:v>
      </x:c>
      <x:c r="C586" t="str">
        <x:v>C023</x:v>
      </x:c>
      <x:c r="D586" t="str">
        <x:v>BPO</x:v>
      </x:c>
      <x:c r="E586" t="str">
        <x:v>Q4</x:v>
      </x:c>
      <x:c r="F586" t="str">
        <x:v>継続契約</x:v>
      </x:c>
      <x:c r="G586" t="str">
        <x:v>業務運用代行</x:v>
      </x:c>
      <x:c r="H586" s="16" t="n">
        <x:v>678000</x:v>
      </x:c>
      <x:c r="I586" s="16" t="n">
        <x:v>198000</x:v>
      </x:c>
      <x:c r="J586" s="16" t="n">
        <x:v>34000</x:v>
      </x:c>
      <x:c r="K586" s="16" t="n">
        <x:v>28000</x:v>
      </x:c>
      <x:c r="L586" s="14" t="n">
        <x:f>SUM(I586:K586)</x:f>
        <x:v>260000</x:v>
      </x:c>
      <x:c r="M586" s="14" t="n">
        <x:f>H586-L586</x:f>
        <x:v>418000</x:v>
      </x:c>
    </x:row>
    <x:row r="587">
      <x:c r="A587" t="str">
        <x:v>T0586</x:v>
      </x:c>
      <x:c r="B587" t="n">
        <x:v>12</x:v>
      </x:c>
      <x:c r="C587" t="str">
        <x:v>C025</x:v>
      </x:c>
      <x:c r="D587" t="str">
        <x:v>BPO</x:v>
      </x:c>
      <x:c r="E587" t="str">
        <x:v>Q4</x:v>
      </x:c>
      <x:c r="F587" t="str">
        <x:v>継続契約</x:v>
      </x:c>
      <x:c r="G587" t="str">
        <x:v>業務運用代行</x:v>
      </x:c>
      <x:c r="H587" s="16" t="n">
        <x:v>1331000</x:v>
      </x:c>
      <x:c r="I587" s="16" t="n">
        <x:v>405000</x:v>
      </x:c>
      <x:c r="J587" s="16" t="n">
        <x:v>69000</x:v>
      </x:c>
      <x:c r="K587" s="16" t="n">
        <x:v>59000</x:v>
      </x:c>
      <x:c r="L587" s="14" t="n">
        <x:f>SUM(I587:K587)</x:f>
        <x:v>533000</x:v>
      </x:c>
      <x:c r="M587" s="14" t="n">
        <x:f>H587-L587</x:f>
        <x:v>798000</x:v>
      </x:c>
    </x:row>
    <x:row r="588">
      <x:c r="A588" t="str">
        <x:v>T0587</x:v>
      </x:c>
      <x:c r="B588" t="n">
        <x:v>12</x:v>
      </x:c>
      <x:c r="C588" t="str">
        <x:v>C027</x:v>
      </x:c>
      <x:c r="D588" t="str">
        <x:v>BPO</x:v>
      </x:c>
      <x:c r="E588" t="str">
        <x:v>Q4</x:v>
      </x:c>
      <x:c r="F588" t="str">
        <x:v>継続契約</x:v>
      </x:c>
      <x:c r="G588" t="str">
        <x:v>業務運用代行</x:v>
      </x:c>
      <x:c r="H588" s="16" t="n">
        <x:v>1065000</x:v>
      </x:c>
      <x:c r="I588" s="16" t="n">
        <x:v>320000</x:v>
      </x:c>
      <x:c r="J588" s="16" t="n">
        <x:v>55000</x:v>
      </x:c>
      <x:c r="K588" s="16" t="n">
        <x:v>46000</x:v>
      </x:c>
      <x:c r="L588" s="14" t="n">
        <x:f>SUM(I588:K588)</x:f>
        <x:v>421000</x:v>
      </x:c>
      <x:c r="M588" s="14" t="n">
        <x:f>H588-L588</x:f>
        <x:v>644000</x:v>
      </x:c>
    </x:row>
    <x:row r="589">
      <x:c r="A589" t="str">
        <x:v>T0588</x:v>
      </x:c>
      <x:c r="B589" t="n">
        <x:v>12</x:v>
      </x:c>
      <x:c r="C589" t="str">
        <x:v>C028</x:v>
      </x:c>
      <x:c r="D589" t="str">
        <x:v>BPO</x:v>
      </x:c>
      <x:c r="E589" t="str">
        <x:v>Q4</x:v>
      </x:c>
      <x:c r="F589" t="str">
        <x:v>継続契約</x:v>
      </x:c>
      <x:c r="G589" t="str">
        <x:v>業務運用代行</x:v>
      </x:c>
      <x:c r="H589" s="16" t="n">
        <x:v>1394000</x:v>
      </x:c>
      <x:c r="I589" s="16" t="n">
        <x:v>391000</x:v>
      </x:c>
      <x:c r="J589" s="16" t="n">
        <x:v>67000</x:v>
      </x:c>
      <x:c r="K589" s="16" t="n">
        <x:v>57000</x:v>
      </x:c>
      <x:c r="L589" s="14" t="n">
        <x:f>SUM(I589:K589)</x:f>
        <x:v>515000</x:v>
      </x:c>
      <x:c r="M589" s="14" t="n">
        <x:f>H589-L589</x:f>
        <x:v>879000</x:v>
      </x:c>
    </x:row>
    <x:row r="590">
      <x:c r="A590" t="str">
        <x:v>T0589</x:v>
      </x:c>
      <x:c r="B590" t="n">
        <x:v>12</x:v>
      </x:c>
      <x:c r="C590" t="str">
        <x:v>C029</x:v>
      </x:c>
      <x:c r="D590" t="str">
        <x:v>BPO</x:v>
      </x:c>
      <x:c r="E590" t="str">
        <x:v>Q4</x:v>
      </x:c>
      <x:c r="F590" t="str">
        <x:v>継続契約</x:v>
      </x:c>
      <x:c r="G590" t="str">
        <x:v>業務運用代行</x:v>
      </x:c>
      <x:c r="H590" s="16" t="n">
        <x:v>399000</x:v>
      </x:c>
      <x:c r="I590" s="16" t="n">
        <x:v>128000</x:v>
      </x:c>
      <x:c r="J590" s="16" t="n">
        <x:v>22000</x:v>
      </x:c>
      <x:c r="K590" s="16" t="n">
        <x:v>19000</x:v>
      </x:c>
      <x:c r="L590" s="14" t="n">
        <x:f>SUM(I590:K590)</x:f>
        <x:v>169000</x:v>
      </x:c>
      <x:c r="M590" s="14" t="n">
        <x:f>H590-L590</x:f>
        <x:v>230000</x:v>
      </x:c>
    </x:row>
    <x:row r="591">
      <x:c r="A591" t="str">
        <x:v>T0590</x:v>
      </x:c>
      <x:c r="B591" t="n">
        <x:v>12</x:v>
      </x:c>
      <x:c r="C591" t="str">
        <x:v>C029</x:v>
      </x:c>
      <x:c r="D591" t="str">
        <x:v>BPO</x:v>
      </x:c>
      <x:c r="E591" t="str">
        <x:v>Q4</x:v>
      </x:c>
      <x:c r="F591" t="str">
        <x:v>継続契約</x:v>
      </x:c>
      <x:c r="G591" t="str">
        <x:v>業務運用代行</x:v>
      </x:c>
      <x:c r="H591" s="16" t="n">
        <x:v>561000</x:v>
      </x:c>
      <x:c r="I591" s="16" t="n">
        <x:v>163000</x:v>
      </x:c>
      <x:c r="J591" s="16" t="n">
        <x:v>28000</x:v>
      </x:c>
      <x:c r="K591" s="16" t="n">
        <x:v>24000</x:v>
      </x:c>
      <x:c r="L591" s="14" t="n">
        <x:f>SUM(I591:K591)</x:f>
        <x:v>215000</x:v>
      </x:c>
      <x:c r="M591" s="14" t="n">
        <x:f>H591-L591</x:f>
        <x:v>346000</x:v>
      </x:c>
    </x:row>
    <x:row r="592">
      <x:c r="A592" t="str">
        <x:v>T0591</x:v>
      </x:c>
      <x:c r="B592" t="n">
        <x:v>12</x:v>
      </x:c>
      <x:c r="C592" t="str">
        <x:v>C030</x:v>
      </x:c>
      <x:c r="D592" t="str">
        <x:v>BPO</x:v>
      </x:c>
      <x:c r="E592" t="str">
        <x:v>Q4</x:v>
      </x:c>
      <x:c r="F592" t="str">
        <x:v>継続契約</x:v>
      </x:c>
      <x:c r="G592" t="str">
        <x:v>業務運用代行</x:v>
      </x:c>
      <x:c r="H592" s="16" t="n">
        <x:v>1159000</x:v>
      </x:c>
      <x:c r="I592" s="16" t="n">
        <x:v>377000</x:v>
      </x:c>
      <x:c r="J592" s="16" t="n">
        <x:v>64000</x:v>
      </x:c>
      <x:c r="K592" s="16" t="n">
        <x:v>55000</x:v>
      </x:c>
      <x:c r="L592" s="14" t="n">
        <x:f>SUM(I592:K592)</x:f>
        <x:v>496000</x:v>
      </x:c>
      <x:c r="M592" s="14" t="n">
        <x:f>H592-L592</x:f>
        <x:v>663000</x:v>
      </x:c>
    </x:row>
    <x:row r="593">
      <x:c r="A593" t="str">
        <x:v>T0592</x:v>
      </x:c>
      <x:c r="B593" t="n">
        <x:v>12</x:v>
      </x:c>
      <x:c r="C593" t="str">
        <x:v>C031</x:v>
      </x:c>
      <x:c r="D593" t="str">
        <x:v>BPO</x:v>
      </x:c>
      <x:c r="E593" t="str">
        <x:v>Q4</x:v>
      </x:c>
      <x:c r="F593" t="str">
        <x:v>継続契約</x:v>
      </x:c>
      <x:c r="G593" t="str">
        <x:v>業務運用代行</x:v>
      </x:c>
      <x:c r="H593" s="16" t="n">
        <x:v>1113000</x:v>
      </x:c>
      <x:c r="I593" s="16" t="n">
        <x:v>328000</x:v>
      </x:c>
      <x:c r="J593" s="16" t="n">
        <x:v>56000</x:v>
      </x:c>
      <x:c r="K593" s="16" t="n">
        <x:v>48000</x:v>
      </x:c>
      <x:c r="L593" s="14" t="n">
        <x:f>SUM(I593:K593)</x:f>
        <x:v>432000</x:v>
      </x:c>
      <x:c r="M593" s="14" t="n">
        <x:f>H593-L593</x:f>
        <x:v>681000</x:v>
      </x:c>
    </x:row>
    <x:row r="594">
      <x:c r="A594" t="str">
        <x:v>T0593</x:v>
      </x:c>
      <x:c r="B594" t="n">
        <x:v>12</x:v>
      </x:c>
      <x:c r="C594" t="str">
        <x:v>C032</x:v>
      </x:c>
      <x:c r="D594" t="str">
        <x:v>BPO</x:v>
      </x:c>
      <x:c r="E594" t="str">
        <x:v>Q4</x:v>
      </x:c>
      <x:c r="F594" t="str">
        <x:v>継続契約</x:v>
      </x:c>
      <x:c r="G594" t="str">
        <x:v>業務運用代行</x:v>
      </x:c>
      <x:c r="H594" s="16" t="n">
        <x:v>1245000</x:v>
      </x:c>
      <x:c r="I594" s="16" t="n">
        <x:v>339000</x:v>
      </x:c>
      <x:c r="J594" s="16" t="n">
        <x:v>58000</x:v>
      </x:c>
      <x:c r="K594" s="16" t="n">
        <x:v>49000</x:v>
      </x:c>
      <x:c r="L594" s="14" t="n">
        <x:f>SUM(I594:K594)</x:f>
        <x:v>446000</x:v>
      </x:c>
      <x:c r="M594" s="14" t="n">
        <x:f>H594-L594</x:f>
        <x:v>799000</x:v>
      </x:c>
    </x:row>
    <x:row r="595">
      <x:c r="A595" t="str">
        <x:v>T0594</x:v>
      </x:c>
      <x:c r="B595" t="n">
        <x:v>12</x:v>
      </x:c>
      <x:c r="C595" t="str">
        <x:v>C033</x:v>
      </x:c>
      <x:c r="D595" t="str">
        <x:v>BPO</x:v>
      </x:c>
      <x:c r="E595" t="str">
        <x:v>Q4</x:v>
      </x:c>
      <x:c r="F595" t="str">
        <x:v>継続契約</x:v>
      </x:c>
      <x:c r="G595" t="str">
        <x:v>業務運用代行</x:v>
      </x:c>
      <x:c r="H595" s="16" t="n">
        <x:v>1159000</x:v>
      </x:c>
      <x:c r="I595" s="16" t="n">
        <x:v>331000</x:v>
      </x:c>
      <x:c r="J595" s="16" t="n">
        <x:v>57000</x:v>
      </x:c>
      <x:c r="K595" s="16" t="n">
        <x:v>47000</x:v>
      </x:c>
      <x:c r="L595" s="14" t="n">
        <x:f>SUM(I595:K595)</x:f>
        <x:v>435000</x:v>
      </x:c>
      <x:c r="M595" s="14" t="n">
        <x:f>H595-L595</x:f>
        <x:v>724000</x:v>
      </x:c>
    </x:row>
    <x:row r="596">
      <x:c r="A596" t="str">
        <x:v>T0595</x:v>
      </x:c>
      <x:c r="B596" t="n">
        <x:v>12</x:v>
      </x:c>
      <x:c r="C596" t="str">
        <x:v>C035</x:v>
      </x:c>
      <x:c r="D596" t="str">
        <x:v>TRN</x:v>
      </x:c>
      <x:c r="E596" t="str">
        <x:v>Q4</x:v>
      </x:c>
      <x:c r="F596" t="str">
        <x:v>スポット中心</x:v>
      </x:c>
      <x:c r="G596" t="str">
        <x:v>研修プログラム</x:v>
      </x:c>
      <x:c r="H596" s="16" t="n">
        <x:v>828000</x:v>
      </x:c>
      <x:c r="I596" s="16" t="n">
        <x:v>49000</x:v>
      </x:c>
      <x:c r="J596" s="16" t="n">
        <x:v>24000</x:v>
      </x:c>
      <x:c r="K596" s="16" t="n">
        <x:v>63000</x:v>
      </x:c>
      <x:c r="L596" s="14" t="n">
        <x:f>SUM(I596:K596)</x:f>
        <x:v>136000</x:v>
      </x:c>
      <x:c r="M596" s="14" t="n">
        <x:f>H596-L596</x:f>
        <x:v>692000</x:v>
      </x:c>
    </x:row>
    <x:row r="597">
      <x:c r="A597" t="str">
        <x:v>T0596</x:v>
      </x:c>
      <x:c r="B597" t="n">
        <x:v>12</x:v>
      </x:c>
      <x:c r="C597" t="str">
        <x:v>C035</x:v>
      </x:c>
      <x:c r="D597" t="str">
        <x:v>TRN</x:v>
      </x:c>
      <x:c r="E597" t="str">
        <x:v>Q4</x:v>
      </x:c>
      <x:c r="F597" t="str">
        <x:v>スポット中心</x:v>
      </x:c>
      <x:c r="G597" t="str">
        <x:v>研修プログラム</x:v>
      </x:c>
      <x:c r="H597" s="16" t="n">
        <x:v>854000</x:v>
      </x:c>
      <x:c r="I597" s="16" t="n">
        <x:v>41000</x:v>
      </x:c>
      <x:c r="J597" s="16" t="n">
        <x:v>21000</x:v>
      </x:c>
      <x:c r="K597" s="16" t="n">
        <x:v>53000</x:v>
      </x:c>
      <x:c r="L597" s="14" t="n">
        <x:f>SUM(I597:K597)</x:f>
        <x:v>115000</x:v>
      </x:c>
      <x:c r="M597" s="14" t="n">
        <x:f>H597-L597</x:f>
        <x:v>739000</x:v>
      </x:c>
    </x:row>
    <x:row r="598">
      <x:c r="A598" t="str">
        <x:v>T0597</x:v>
      </x:c>
      <x:c r="B598" t="n">
        <x:v>12</x:v>
      </x:c>
      <x:c r="C598" t="str">
        <x:v>C036</x:v>
      </x:c>
      <x:c r="D598" t="str">
        <x:v>TRN</x:v>
      </x:c>
      <x:c r="E598" t="str">
        <x:v>Q4</x:v>
      </x:c>
      <x:c r="F598" t="str">
        <x:v>継続契約</x:v>
      </x:c>
      <x:c r="G598" t="str">
        <x:v>研修プログラム</x:v>
      </x:c>
      <x:c r="H598" s="16" t="n">
        <x:v>659000</x:v>
      </x:c>
      <x:c r="I598" s="16" t="n">
        <x:v>35000</x:v>
      </x:c>
      <x:c r="J598" s="16" t="n">
        <x:v>17000</x:v>
      </x:c>
      <x:c r="K598" s="16" t="n">
        <x:v>45000</x:v>
      </x:c>
      <x:c r="L598" s="14" t="n">
        <x:f>SUM(I598:K598)</x:f>
        <x:v>97000</x:v>
      </x:c>
      <x:c r="M598" s="14" t="n">
        <x:f>H598-L598</x:f>
        <x:v>562000</x:v>
      </x:c>
    </x:row>
    <x:row r="599">
      <x:c r="A599" t="str">
        <x:v>T0598</x:v>
      </x:c>
      <x:c r="B599" t="n">
        <x:v>12</x:v>
      </x:c>
      <x:c r="C599" t="str">
        <x:v>C036</x:v>
      </x:c>
      <x:c r="D599" t="str">
        <x:v>TRN</x:v>
      </x:c>
      <x:c r="E599" t="str">
        <x:v>Q4</x:v>
      </x:c>
      <x:c r="F599" t="str">
        <x:v>継続契約</x:v>
      </x:c>
      <x:c r="G599" t="str">
        <x:v>研修プログラム</x:v>
      </x:c>
      <x:c r="H599" s="16" t="n">
        <x:v>547000</x:v>
      </x:c>
      <x:c r="I599" s="16" t="n">
        <x:v>24000</x:v>
      </x:c>
      <x:c r="J599" s="16" t="n">
        <x:v>12000</x:v>
      </x:c>
      <x:c r="K599" s="16" t="n">
        <x:v>31000</x:v>
      </x:c>
      <x:c r="L599" s="14" t="n">
        <x:f>SUM(I599:K599)</x:f>
        <x:v>67000</x:v>
      </x:c>
      <x:c r="M599" s="14" t="n">
        <x:f>H599-L599</x:f>
        <x:v>480000</x:v>
      </x:c>
    </x:row>
    <x:row r="600">
      <x:c r="A600" t="str">
        <x:v>T0599</x:v>
      </x:c>
      <x:c r="B600" t="n">
        <x:v>12</x:v>
      </x:c>
      <x:c r="C600" t="str">
        <x:v>C037</x:v>
      </x:c>
      <x:c r="D600" t="str">
        <x:v>TRN</x:v>
      </x:c>
      <x:c r="E600" t="str">
        <x:v>Q4</x:v>
      </x:c>
      <x:c r="F600" t="str">
        <x:v>継続契約</x:v>
      </x:c>
      <x:c r="G600" t="str">
        <x:v>研修プログラム</x:v>
      </x:c>
      <x:c r="H600" s="16" t="n">
        <x:v>1193000</x:v>
      </x:c>
      <x:c r="I600" s="16" t="n">
        <x:v>93000</x:v>
      </x:c>
      <x:c r="J600" s="16" t="n">
        <x:v>47000</x:v>
      </x:c>
      <x:c r="K600" s="16" t="n">
        <x:v>119000</x:v>
      </x:c>
      <x:c r="L600" s="14" t="n">
        <x:f>SUM(I600:K600)</x:f>
        <x:v>259000</x:v>
      </x:c>
      <x:c r="M600" s="14" t="n">
        <x:f>H600-L600</x:f>
        <x:v>934000</x:v>
      </x:c>
    </x:row>
    <x:row r="601">
      <x:c r="A601" t="str">
        <x:v>T0600</x:v>
      </x:c>
      <x:c r="B601" t="n">
        <x:v>12</x:v>
      </x:c>
      <x:c r="C601" t="str">
        <x:v>C038</x:v>
      </x:c>
      <x:c r="D601" t="str">
        <x:v>TRN</x:v>
      </x:c>
      <x:c r="E601" t="str">
        <x:v>Q4</x:v>
      </x:c>
      <x:c r="F601" t="str">
        <x:v>継続契約</x:v>
      </x:c>
      <x:c r="G601" t="str">
        <x:v>研修プログラム</x:v>
      </x:c>
      <x:c r="H601" s="16" t="n">
        <x:v>917000</x:v>
      </x:c>
      <x:c r="I601" s="16" t="n">
        <x:v>45000</x:v>
      </x:c>
      <x:c r="J601" s="16" t="n">
        <x:v>22000</x:v>
      </x:c>
      <x:c r="K601" s="16" t="n">
        <x:v>57000</x:v>
      </x:c>
      <x:c r="L601" s="14" t="n">
        <x:f>SUM(I601:K601)</x:f>
        <x:v>124000</x:v>
      </x:c>
      <x:c r="M601" s="14" t="n">
        <x:f>H601-L601</x:f>
        <x:v>793000</x:v>
      </x:c>
    </x:row>
    <x:row r="602">
      <x:c r="A602" t="str">
        <x:v>T0601</x:v>
      </x:c>
      <x:c r="B602" t="n">
        <x:v>12</x:v>
      </x:c>
      <x:c r="C602" t="str">
        <x:v>C039</x:v>
      </x:c>
      <x:c r="D602" t="str">
        <x:v>TRN</x:v>
      </x:c>
      <x:c r="E602" t="str">
        <x:v>Q4</x:v>
      </x:c>
      <x:c r="F602" t="str">
        <x:v>継続契約</x:v>
      </x:c>
      <x:c r="G602" t="str">
        <x:v>研修プログラム</x:v>
      </x:c>
      <x:c r="H602" s="16" t="n">
        <x:v>758000</x:v>
      </x:c>
      <x:c r="I602" s="16" t="n">
        <x:v>44000</x:v>
      </x:c>
      <x:c r="J602" s="16" t="n">
        <x:v>22000</x:v>
      </x:c>
      <x:c r="K602" s="16" t="n">
        <x:v>55000</x:v>
      </x:c>
      <x:c r="L602" s="14" t="n">
        <x:f>SUM(I602:K602)</x:f>
        <x:v>121000</x:v>
      </x:c>
      <x:c r="M602" s="14" t="n">
        <x:f>H602-L602</x:f>
        <x:v>637000</x:v>
      </x:c>
    </x:row>
    <x:row r="603">
      <x:c r="A603" t="str">
        <x:v>T0602</x:v>
      </x:c>
      <x:c r="B603" t="n">
        <x:v>12</x:v>
      </x:c>
      <x:c r="C603" t="str">
        <x:v>C041</x:v>
      </x:c>
      <x:c r="D603" t="str">
        <x:v>TRN</x:v>
      </x:c>
      <x:c r="E603" t="str">
        <x:v>Q4</x:v>
      </x:c>
      <x:c r="F603" t="str">
        <x:v>継続契約</x:v>
      </x:c>
      <x:c r="G603" t="str">
        <x:v>研修プログラム</x:v>
      </x:c>
      <x:c r="H603" s="16" t="n">
        <x:v>515000</x:v>
      </x:c>
      <x:c r="I603" s="16" t="n">
        <x:v>22000</x:v>
      </x:c>
      <x:c r="J603" s="16" t="n">
        <x:v>11000</x:v>
      </x:c>
      <x:c r="K603" s="16" t="n">
        <x:v>27000</x:v>
      </x:c>
      <x:c r="L603" s="14" t="n">
        <x:f>SUM(I603:K603)</x:f>
        <x:v>60000</x:v>
      </x:c>
      <x:c r="M603" s="14" t="n">
        <x:f>H603-L603</x:f>
        <x:v>455000</x:v>
      </x:c>
    </x:row>
    <x:row r="604">
      <x:c r="A604" t="str">
        <x:v>T0603</x:v>
      </x:c>
      <x:c r="B604" t="n">
        <x:v>12</x:v>
      </x:c>
      <x:c r="C604" t="str">
        <x:v>C041</x:v>
      </x:c>
      <x:c r="D604" t="str">
        <x:v>TRN</x:v>
      </x:c>
      <x:c r="E604" t="str">
        <x:v>Q4</x:v>
      </x:c>
      <x:c r="F604" t="str">
        <x:v>継続契約</x:v>
      </x:c>
      <x:c r="G604" t="str">
        <x:v>研修プログラム</x:v>
      </x:c>
      <x:c r="H604" s="16" t="n">
        <x:v>574000</x:v>
      </x:c>
      <x:c r="I604" s="16" t="n">
        <x:v>24000</x:v>
      </x:c>
      <x:c r="J604" s="16" t="n">
        <x:v>12000</x:v>
      </x:c>
      <x:c r="K604" s="16" t="n">
        <x:v>31000</x:v>
      </x:c>
      <x:c r="L604" s="14" t="n">
        <x:f>SUM(I604:K604)</x:f>
        <x:v>67000</x:v>
      </x:c>
      <x:c r="M604" s="14" t="n">
        <x:f>H604-L604</x:f>
        <x:v>507000</x:v>
      </x:c>
    </x:row>
    <x:row r="605">
      <x:c r="A605" t="str">
        <x:v>T0604</x:v>
      </x:c>
      <x:c r="B605" t="n">
        <x:v>12</x:v>
      </x:c>
      <x:c r="C605" t="str">
        <x:v>C042</x:v>
      </x:c>
      <x:c r="D605" t="str">
        <x:v>TRN</x:v>
      </x:c>
      <x:c r="E605" t="str">
        <x:v>Q4</x:v>
      </x:c>
      <x:c r="F605" t="str">
        <x:v>継続契約</x:v>
      </x:c>
      <x:c r="G605" t="str">
        <x:v>研修プログラム</x:v>
      </x:c>
      <x:c r="H605" s="16" t="n">
        <x:v>578000</x:v>
      </x:c>
      <x:c r="I605" s="16" t="n">
        <x:v>40000</x:v>
      </x:c>
      <x:c r="J605" s="16" t="n">
        <x:v>20000</x:v>
      </x:c>
      <x:c r="K605" s="16" t="n">
        <x:v>52000</x:v>
      </x:c>
      <x:c r="L605" s="14" t="n">
        <x:f>SUM(I605:K605)</x:f>
        <x:v>112000</x:v>
      </x:c>
      <x:c r="M605" s="14" t="n">
        <x:f>H605-L605</x:f>
        <x:v>466000</x:v>
      </x:c>
    </x:row>
    <x:row r="606">
      <x:c r="A606" t="str">
        <x:v>T0605</x:v>
      </x:c>
      <x:c r="B606" t="n">
        <x:v>12</x:v>
      </x:c>
      <x:c r="C606" t="str">
        <x:v>C042</x:v>
      </x:c>
      <x:c r="D606" t="str">
        <x:v>TRN</x:v>
      </x:c>
      <x:c r="E606" t="str">
        <x:v>Q4</x:v>
      </x:c>
      <x:c r="F606" t="str">
        <x:v>継続契約</x:v>
      </x:c>
      <x:c r="G606" t="str">
        <x:v>研修プログラム</x:v>
      </x:c>
      <x:c r="H606" s="16" t="n">
        <x:v>677000</x:v>
      </x:c>
      <x:c r="I606" s="16" t="n">
        <x:v>24000</x:v>
      </x:c>
      <x:c r="J606" s="16" t="n">
        <x:v>12000</x:v>
      </x:c>
      <x:c r="K606" s="16" t="n">
        <x:v>32000</x:v>
      </x:c>
      <x:c r="L606" s="14" t="n">
        <x:f>SUM(I606:K606)</x:f>
        <x:v>68000</x:v>
      </x:c>
      <x:c r="M606" s="14" t="n">
        <x:f>H606-L606</x:f>
        <x:v>609000</x:v>
      </x:c>
    </x:row>
    <x:row r="607">
      <x:c r="A607" t="str">
        <x:v>T0606</x:v>
      </x:c>
      <x:c r="B607" t="n">
        <x:v>12</x:v>
      </x:c>
      <x:c r="C607" t="str">
        <x:v>C043</x:v>
      </x:c>
      <x:c r="D607" t="str">
        <x:v>TRN</x:v>
      </x:c>
      <x:c r="E607" t="str">
        <x:v>Q4</x:v>
      </x:c>
      <x:c r="F607" t="str">
        <x:v>継続契約</x:v>
      </x:c>
      <x:c r="G607" t="str">
        <x:v>研修プログラム</x:v>
      </x:c>
      <x:c r="H607" s="16" t="n">
        <x:v>554000</x:v>
      </x:c>
      <x:c r="I607" s="16" t="n">
        <x:v>21000</x:v>
      </x:c>
      <x:c r="J607" s="16" t="n">
        <x:v>10000</x:v>
      </x:c>
      <x:c r="K607" s="16" t="n">
        <x:v>27000</x:v>
      </x:c>
      <x:c r="L607" s="14" t="n">
        <x:f>SUM(I607:K607)</x:f>
        <x:v>58000</x:v>
      </x:c>
      <x:c r="M607" s="14" t="n">
        <x:f>H607-L607</x:f>
        <x:v>496000</x:v>
      </x:c>
    </x:row>
    <x:row r="608">
      <x:c r="A608" t="str">
        <x:v>T0607</x:v>
      </x:c>
      <x:c r="B608" t="n">
        <x:v>12</x:v>
      </x:c>
      <x:c r="C608" t="str">
        <x:v>C043</x:v>
      </x:c>
      <x:c r="D608" t="str">
        <x:v>TRN</x:v>
      </x:c>
      <x:c r="E608" t="str">
        <x:v>Q4</x:v>
      </x:c>
      <x:c r="F608" t="str">
        <x:v>継続契約</x:v>
      </x:c>
      <x:c r="G608" t="str">
        <x:v>研修プログラム</x:v>
      </x:c>
      <x:c r="H608" s="16" t="n">
        <x:v>551000</x:v>
      </x:c>
      <x:c r="I608" s="16" t="n">
        <x:v>39000</x:v>
      </x:c>
      <x:c r="J608" s="16" t="n">
        <x:v>19000</x:v>
      </x:c>
      <x:c r="K608" s="16" t="n">
        <x:v>49000</x:v>
      </x:c>
      <x:c r="L608" s="14" t="n">
        <x:f>SUM(I608:K608)</x:f>
        <x:v>107000</x:v>
      </x:c>
      <x:c r="M608" s="14" t="n">
        <x:f>H608-L608</x:f>
        <x:v>444000</x:v>
      </x:c>
    </x:row>
    <x:row r="609">
      <x:c r="A609" t="str">
        <x:v>T0608</x:v>
      </x:c>
      <x:c r="B609" t="n">
        <x:v>12</x:v>
      </x:c>
      <x:c r="C609" t="str">
        <x:v>C044</x:v>
      </x:c>
      <x:c r="D609" t="str">
        <x:v>TRN</x:v>
      </x:c>
      <x:c r="E609" t="str">
        <x:v>Q4</x:v>
      </x:c>
      <x:c r="F609" t="str">
        <x:v>継続契約</x:v>
      </x:c>
      <x:c r="G609" t="str">
        <x:v>研修プログラム</x:v>
      </x:c>
      <x:c r="H609" s="16" t="n">
        <x:v>963000</x:v>
      </x:c>
      <x:c r="I609" s="16" t="n">
        <x:v>77000</x:v>
      </x:c>
      <x:c r="J609" s="16" t="n">
        <x:v>39000</x:v>
      </x:c>
      <x:c r="K609" s="16" t="n">
        <x:v>98000</x:v>
      </x:c>
      <x:c r="L609" s="14" t="n">
        <x:f>SUM(I609:K609)</x:f>
        <x:v>214000</x:v>
      </x:c>
      <x:c r="M609" s="14" t="n">
        <x:f>H609-L609</x:f>
        <x:v>749000</x:v>
      </x:c>
    </x:row>
  </x:sheetData>
  <x:pageMargins left="0.7" right="0.7" top="0.75" bottom="0.75" header="0.3" footer="0.3"/>
  <x:tableParts count="1">
    <x:tablePart xmlns:r="http://schemas.openxmlformats.org/officeDocument/2006/relationships" r:id="R664ee8b1c2b742e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24" hidden="0" customWidth="1"/>
    <x:col min="10" max="10" width="18" hidden="0" customWidth="1"/>
  </x:cols>
  <x:sheetData>
    <x:row r="1" ht="26" customHeight="1">
      <x:c r="A1" s="5" t="str">
        <x:v>顧客ID</x:v>
      </x:c>
      <x:c r="B1" s="5" t="str">
        <x:v>顧客名（完全架空）</x:v>
      </x:c>
      <x:c r="C1" s="5" t="str">
        <x:v>主担当部門</x:v>
      </x:c>
      <x:c r="D1" s="5" t="str">
        <x:v>顧客区分</x:v>
      </x:c>
      <x:c r="E1" s="5" t="str">
        <x:v>契約形態</x:v>
      </x:c>
      <x:c r="F1" s="5" t="str">
        <x:v>地域</x:v>
      </x:c>
      <x:c r="G1" s="5" t="str">
        <x:v>備考</x:v>
      </x:c>
      <x:c r="H1" s="5" t="str">
        <x:v>選択期間売上（円）</x:v>
      </x:c>
      <x:c r="I1" s="5" t="str">
        <x:v>選択期間限界利益（円）</x:v>
      </x:c>
      <x:c r="J1" s="5" t="str">
        <x:v>売上構成比</x:v>
      </x:c>
    </x:row>
    <x:row r="2">
      <x:c r="A2" t="str">
        <x:v>C001</x:v>
      </x:c>
      <x:c r="B2" t="str">
        <x:v>架空法人顧客 001</x:v>
      </x:c>
      <x:c r="C2" t="str">
        <x:v>IT</x:v>
      </x:c>
      <x:c r="D2" t="str">
        <x:v>大企業</x:v>
      </x:c>
      <x:c r="E2" t="str">
        <x:v>継続契約</x:v>
      </x:c>
      <x:c r="F2" t="str">
        <x:v>関西</x:v>
      </x:c>
      <x:c r="G2" t="str"/>
      <x:c r="H2" s="14" t="n">
        <x:f>IF(AND(Dashboard!$B$4&lt;&gt;"全部門",C2&lt;&gt;Dashboard!$B$4),0,IF(Dashboard!$L$4="通期",SUMIF(Transactions!$C$2:$C$2000,A2,Transactions!$H$2:$H$2000),SUMIFS(Transactions!$H$2:$H$2000,Transactions!$C$2:$C$2000,A2,Transactions!$E$2:$E$2000,Dashboard!$L$4)))</x:f>
        <x:v>52588000</x:v>
      </x:c>
      <x:c r="I2" s="14" t="n">
        <x:f>IF(AND(Dashboard!$B$4&lt;&gt;"全部門",C2&lt;&gt;Dashboard!$B$4),0,IF(Dashboard!$L$4="通期",SUMIF(Transactions!$C$2:$C$2000,A2,Transactions!$M$2:$M$2000),SUMIFS(Transactions!$M$2:$M$2000,Transactions!$C$2:$C$2000,A2,Transactions!$E$2:$E$2000,Dashboard!$L$4)))</x:f>
        <x:v>33722000</x:v>
      </x:c>
      <x:c r="J2" s="10" t="n">
        <x:f>IFERROR(H2/Dashboard!$A$8,0)</x:f>
        <x:v>0.08335829897585387</x:v>
      </x:c>
    </x:row>
    <x:row r="3">
      <x:c r="A3" t="str">
        <x:v>C002</x:v>
      </x:c>
      <x:c r="B3" t="str">
        <x:v>架空法人顧客 002</x:v>
      </x:c>
      <x:c r="C3" t="str">
        <x:v>IT</x:v>
      </x:c>
      <x:c r="D3" t="str">
        <x:v>大企業</x:v>
      </x:c>
      <x:c r="E3" t="str">
        <x:v>継続契約</x:v>
      </x:c>
      <x:c r="F3" t="str">
        <x:v>中部</x:v>
      </x:c>
      <x:c r="G3" t="str"/>
      <x:c r="H3" s="14" t="n">
        <x:f>IF(AND(Dashboard!$B$4&lt;&gt;"全部門",C3&lt;&gt;Dashboard!$B$4),0,IF(Dashboard!$L$4="通期",SUMIF(Transactions!$C$2:$C$2000,A3,Transactions!$H$2:$H$2000),SUMIFS(Transactions!$H$2:$H$2000,Transactions!$C$2:$C$2000,A3,Transactions!$E$2:$E$2000,Dashboard!$L$4)))</x:f>
        <x:v>32204000</x:v>
      </x:c>
      <x:c r="I3" s="14" t="n">
        <x:f>IF(AND(Dashboard!$B$4&lt;&gt;"全部門",C3&lt;&gt;Dashboard!$B$4),0,IF(Dashboard!$L$4="通期",SUMIF(Transactions!$C$2:$C$2000,A3,Transactions!$M$2:$M$2000),SUMIFS(Transactions!$M$2:$M$2000,Transactions!$C$2:$C$2000,A3,Transactions!$E$2:$E$2000,Dashboard!$L$4)))</x:f>
        <x:v>20579000</x:v>
      </x:c>
      <x:c r="J3" s="10" t="n">
        <x:f>IFERROR(H3/Dashboard!$A$8,0)</x:f>
        <x:v>0.05104720963372628</x:v>
      </x:c>
    </x:row>
    <x:row r="4">
      <x:c r="A4" t="str">
        <x:v>C003</x:v>
      </x:c>
      <x:c r="B4" t="str">
        <x:v>架空法人顧客 003</x:v>
      </x:c>
      <x:c r="C4" t="str">
        <x:v>IT</x:v>
      </x:c>
      <x:c r="D4" t="str">
        <x:v>大企業</x:v>
      </x:c>
      <x:c r="E4" t="str">
        <x:v>継続契約</x:v>
      </x:c>
      <x:c r="F4" t="str">
        <x:v>九州・四国</x:v>
      </x:c>
      <x:c r="G4" t="str"/>
      <x:c r="H4" s="14" t="n">
        <x:f>IF(AND(Dashboard!$B$4&lt;&gt;"全部門",C4&lt;&gt;Dashboard!$B$4),0,IF(Dashboard!$L$4="通期",SUMIF(Transactions!$C$2:$C$2000,A4,Transactions!$H$2:$H$2000),SUMIFS(Transactions!$H$2:$H$2000,Transactions!$C$2:$C$2000,A4,Transactions!$E$2:$E$2000,Dashboard!$L$4)))</x:f>
        <x:v>29320000</x:v>
      </x:c>
      <x:c r="I4" s="14" t="n">
        <x:f>IF(AND(Dashboard!$B$4&lt;&gt;"全部門",C4&lt;&gt;Dashboard!$B$4),0,IF(Dashboard!$L$4="通期",SUMIF(Transactions!$C$2:$C$2000,A4,Transactions!$M$2:$M$2000),SUMIFS(Transactions!$M$2:$M$2000,Transactions!$C$2:$C$2000,A4,Transactions!$E$2:$E$2000,Dashboard!$L$4)))</x:f>
        <x:v>19088000</x:v>
      </x:c>
      <x:c r="J4" s="10" t="n">
        <x:f>IFERROR(H4/Dashboard!$A$8,0)</x:f>
        <x:v>0.046475723092189</x:v>
      </x:c>
    </x:row>
    <x:row r="5">
      <x:c r="A5" t="str">
        <x:v>C004</x:v>
      </x:c>
      <x:c r="B5" t="str">
        <x:v>架空法人顧客 004</x:v>
      </x:c>
      <x:c r="C5" t="str">
        <x:v>IT</x:v>
      </x:c>
      <x:c r="D5" t="str">
        <x:v>中堅企業</x:v>
      </x:c>
      <x:c r="E5" t="str">
        <x:v>継続契約</x:v>
      </x:c>
      <x:c r="F5" t="str">
        <x:v>関東</x:v>
      </x:c>
      <x:c r="G5" t="str"/>
      <x:c r="H5" s="14" t="n">
        <x:f>IF(AND(Dashboard!$B$4&lt;&gt;"全部門",C5&lt;&gt;Dashboard!$B$4),0,IF(Dashboard!$L$4="通期",SUMIF(Transactions!$C$2:$C$2000,A5,Transactions!$H$2:$H$2000),SUMIFS(Transactions!$H$2:$H$2000,Transactions!$C$2:$C$2000,A5,Transactions!$E$2:$E$2000,Dashboard!$L$4)))</x:f>
        <x:v>11909000</x:v>
      </x:c>
      <x:c r="I5" s="14" t="n">
        <x:f>IF(AND(Dashboard!$B$4&lt;&gt;"全部門",C5&lt;&gt;Dashboard!$B$4),0,IF(Dashboard!$L$4="通期",SUMIF(Transactions!$C$2:$C$2000,A5,Transactions!$M$2:$M$2000),SUMIFS(Transactions!$M$2:$M$2000,Transactions!$C$2:$C$2000,A5,Transactions!$E$2:$E$2000,Dashboard!$L$4)))</x:f>
        <x:v>7803000</x:v>
      </x:c>
      <x:c r="J5" s="10" t="n">
        <x:f>IFERROR(H5/Dashboard!$A$8,0)</x:f>
        <x:v>0.018877195985841706</x:v>
      </x:c>
    </x:row>
    <x:row r="6">
      <x:c r="A6" t="str">
        <x:v>C005</x:v>
      </x:c>
      <x:c r="B6" t="str">
        <x:v>架空法人顧客 005</x:v>
      </x:c>
      <x:c r="C6" t="str">
        <x:v>IT</x:v>
      </x:c>
      <x:c r="D6" t="str">
        <x:v>中堅企業</x:v>
      </x:c>
      <x:c r="E6" t="str">
        <x:v>スポット中心</x:v>
      </x:c>
      <x:c r="F6" t="str">
        <x:v>関西</x:v>
      </x:c>
      <x:c r="G6" t="str"/>
      <x:c r="H6" s="14" t="n">
        <x:f>IF(AND(Dashboard!$B$4&lt;&gt;"全部門",C6&lt;&gt;Dashboard!$B$4),0,IF(Dashboard!$L$4="通期",SUMIF(Transactions!$C$2:$C$2000,A6,Transactions!$H$2:$H$2000),SUMIFS(Transactions!$H$2:$H$2000,Transactions!$C$2:$C$2000,A6,Transactions!$E$2:$E$2000,Dashboard!$L$4)))</x:f>
        <x:v>8965000</x:v>
      </x:c>
      <x:c r="I6" s="14" t="n">
        <x:f>IF(AND(Dashboard!$B$4&lt;&gt;"全部門",C6&lt;&gt;Dashboard!$B$4),0,IF(Dashboard!$L$4="通期",SUMIF(Transactions!$C$2:$C$2000,A6,Transactions!$M$2:$M$2000),SUMIFS(Transactions!$M$2:$M$2000,Transactions!$C$2:$C$2000,A6,Transactions!$E$2:$E$2000,Dashboard!$L$4)))</x:f>
        <x:v>5511000</x:v>
      </x:c>
      <x:c r="J6" s="10" t="n">
        <x:f>IFERROR(H6/Dashboard!$A$8,0)</x:f>
        <x:v>0.014210602234702401</x:v>
      </x:c>
    </x:row>
    <x:row r="7">
      <x:c r="A7" t="str">
        <x:v>C006</x:v>
      </x:c>
      <x:c r="B7" t="str">
        <x:v>架空法人顧客 006</x:v>
      </x:c>
      <x:c r="C7" t="str">
        <x:v>IT</x:v>
      </x:c>
      <x:c r="D7" t="str">
        <x:v>中小企業</x:v>
      </x:c>
      <x:c r="E7" t="str">
        <x:v>継続契約</x:v>
      </x:c>
      <x:c r="F7" t="str">
        <x:v>中部</x:v>
      </x:c>
      <x:c r="G7" t="str"/>
      <x:c r="H7" s="14" t="n">
        <x:f>IF(AND(Dashboard!$B$4&lt;&gt;"全部門",C7&lt;&gt;Dashboard!$B$4),0,IF(Dashboard!$L$4="通期",SUMIF(Transactions!$C$2:$C$2000,A7,Transactions!$H$2:$H$2000),SUMIFS(Transactions!$H$2:$H$2000,Transactions!$C$2:$C$2000,A7,Transactions!$E$2:$E$2000,Dashboard!$L$4)))</x:f>
        <x:v>10374000</x:v>
      </x:c>
      <x:c r="I7" s="14" t="n">
        <x:f>IF(AND(Dashboard!$B$4&lt;&gt;"全部門",C7&lt;&gt;Dashboard!$B$4),0,IF(Dashboard!$L$4="通期",SUMIF(Transactions!$C$2:$C$2000,A7,Transactions!$M$2:$M$2000),SUMIFS(Transactions!$M$2:$M$2000,Transactions!$C$2:$C$2000,A7,Transactions!$E$2:$E$2000,Dashboard!$L$4)))</x:f>
        <x:v>6791000</x:v>
      </x:c>
      <x:c r="J7" s="10" t="n">
        <x:f>IFERROR(H7/Dashboard!$A$8,0)</x:f>
        <x:v>0.01644403654018993</x:v>
      </x:c>
    </x:row>
    <x:row r="8">
      <x:c r="A8" t="str">
        <x:v>C007</x:v>
      </x:c>
      <x:c r="B8" t="str">
        <x:v>架空法人顧客 007</x:v>
      </x:c>
      <x:c r="C8" t="str">
        <x:v>IT</x:v>
      </x:c>
      <x:c r="D8" t="str">
        <x:v>中堅企業</x:v>
      </x:c>
      <x:c r="E8" t="str">
        <x:v>継続契約</x:v>
      </x:c>
      <x:c r="F8" t="str">
        <x:v>九州・四国</x:v>
      </x:c>
      <x:c r="G8" t="str"/>
      <x:c r="H8" s="14" t="n">
        <x:f>IF(AND(Dashboard!$B$4&lt;&gt;"全部門",C8&lt;&gt;Dashboard!$B$4),0,IF(Dashboard!$L$4="通期",SUMIF(Transactions!$C$2:$C$2000,A8,Transactions!$H$2:$H$2000),SUMIFS(Transactions!$H$2:$H$2000,Transactions!$C$2:$C$2000,A8,Transactions!$E$2:$E$2000,Dashboard!$L$4)))</x:f>
        <x:v>11296000</x:v>
      </x:c>
      <x:c r="I8" s="14" t="n">
        <x:f>IF(AND(Dashboard!$B$4&lt;&gt;"全部門",C8&lt;&gt;Dashboard!$B$4),0,IF(Dashboard!$L$4="通期",SUMIF(Transactions!$C$2:$C$2000,A8,Transactions!$M$2:$M$2000),SUMIFS(Transactions!$M$2:$M$2000,Transactions!$C$2:$C$2000,A8,Transactions!$E$2:$E$2000,Dashboard!$L$4)))</x:f>
        <x:v>7245000</x:v>
      </x:c>
      <x:c r="J8" s="10" t="n">
        <x:f>IFERROR(H8/Dashboard!$A$8,0)</x:f>
        <x:v>0.017905517327741028</x:v>
      </x:c>
    </x:row>
    <x:row r="9">
      <x:c r="A9" t="str">
        <x:v>C008</x:v>
      </x:c>
      <x:c r="B9" t="str">
        <x:v>架空法人顧客 008</x:v>
      </x:c>
      <x:c r="C9" t="str">
        <x:v>IT</x:v>
      </x:c>
      <x:c r="D9" t="str">
        <x:v>中堅企業</x:v>
      </x:c>
      <x:c r="E9" t="str">
        <x:v>継続契約</x:v>
      </x:c>
      <x:c r="F9" t="str">
        <x:v>関東</x:v>
      </x:c>
      <x:c r="G9" t="str"/>
      <x:c r="H9" s="14" t="n">
        <x:f>IF(AND(Dashboard!$B$4&lt;&gt;"全部門",C9&lt;&gt;Dashboard!$B$4),0,IF(Dashboard!$L$4="通期",SUMIF(Transactions!$C$2:$C$2000,A9,Transactions!$H$2:$H$2000),SUMIFS(Transactions!$H$2:$H$2000,Transactions!$C$2:$C$2000,A9,Transactions!$E$2:$E$2000,Dashboard!$L$4)))</x:f>
        <x:v>10850000</x:v>
      </x:c>
      <x:c r="I9" s="14" t="n">
        <x:f>IF(AND(Dashboard!$B$4&lt;&gt;"全部門",C9&lt;&gt;Dashboard!$B$4),0,IF(Dashboard!$L$4="通期",SUMIF(Transactions!$C$2:$C$2000,A9,Transactions!$M$2:$M$2000),SUMIFS(Transactions!$M$2:$M$2000,Transactions!$C$2:$C$2000,A9,Transactions!$E$2:$E$2000,Dashboard!$L$4)))</x:f>
        <x:v>7194000</x:v>
      </x:c>
      <x:c r="J9" s="10" t="n">
        <x:f>IFERROR(H9/Dashboard!$A$8,0)</x:f>
        <x:v>0.017198553736365984</x:v>
      </x:c>
    </x:row>
    <x:row r="10">
      <x:c r="A10" t="str">
        <x:v>C009</x:v>
      </x:c>
      <x:c r="B10" t="str">
        <x:v>架空法人顧客 009</x:v>
      </x:c>
      <x:c r="C10" t="str">
        <x:v>IT</x:v>
      </x:c>
      <x:c r="D10" t="str">
        <x:v>中小企業</x:v>
      </x:c>
      <x:c r="E10" t="str">
        <x:v>継続契約</x:v>
      </x:c>
      <x:c r="F10" t="str">
        <x:v>関西</x:v>
      </x:c>
      <x:c r="G10" t="str"/>
      <x:c r="H10" s="14" t="n">
        <x:f>IF(AND(Dashboard!$B$4&lt;&gt;"全部門",C10&lt;&gt;Dashboard!$B$4),0,IF(Dashboard!$L$4="通期",SUMIF(Transactions!$C$2:$C$2000,A10,Transactions!$H$2:$H$2000),SUMIFS(Transactions!$H$2:$H$2000,Transactions!$C$2:$C$2000,A10,Transactions!$E$2:$E$2000,Dashboard!$L$4)))</x:f>
        <x:v>9913000</x:v>
      </x:c>
      <x:c r="I10" s="14" t="n">
        <x:f>IF(AND(Dashboard!$B$4&lt;&gt;"全部門",C10&lt;&gt;Dashboard!$B$4),0,IF(Dashboard!$L$4="通期",SUMIF(Transactions!$C$2:$C$2000,A10,Transactions!$M$2:$M$2000),SUMIFS(Transactions!$M$2:$M$2000,Transactions!$C$2:$C$2000,A10,Transactions!$E$2:$E$2000,Dashboard!$L$4)))</x:f>
        <x:v>6374000</x:v>
      </x:c>
      <x:c r="J10" s="10" t="n">
        <x:f>IFERROR(H10/Dashboard!$A$8,0)</x:f>
        <x:v>0.01571329614641438</x:v>
      </x:c>
    </x:row>
    <x:row r="11">
      <x:c r="A11" t="str">
        <x:v>C010</x:v>
      </x:c>
      <x:c r="B11" t="str">
        <x:v>架空法人顧客 010</x:v>
      </x:c>
      <x:c r="C11" t="str">
        <x:v>IT</x:v>
      </x:c>
      <x:c r="D11" t="str">
        <x:v>中堅企業</x:v>
      </x:c>
      <x:c r="E11" t="str">
        <x:v>スポット中心</x:v>
      </x:c>
      <x:c r="F11" t="str">
        <x:v>中部</x:v>
      </x:c>
      <x:c r="G11" t="str"/>
      <x:c r="H11" s="14" t="n">
        <x:f>IF(AND(Dashboard!$B$4&lt;&gt;"全部門",C11&lt;&gt;Dashboard!$B$4),0,IF(Dashboard!$L$4="通期",SUMIF(Transactions!$C$2:$C$2000,A11,Transactions!$H$2:$H$2000),SUMIFS(Transactions!$H$2:$H$2000,Transactions!$C$2:$C$2000,A11,Transactions!$E$2:$E$2000,Dashboard!$L$4)))</x:f>
        <x:v>6703000</x:v>
      </x:c>
      <x:c r="I11" s="14" t="n">
        <x:f>IF(AND(Dashboard!$B$4&lt;&gt;"全部門",C11&lt;&gt;Dashboard!$B$4),0,IF(Dashboard!$L$4="通期",SUMIF(Transactions!$C$2:$C$2000,A11,Transactions!$M$2:$M$2000),SUMIFS(Transactions!$M$2:$M$2000,Transactions!$C$2:$C$2000,A11,Transactions!$E$2:$E$2000,Dashboard!$L$4)))</x:f>
        <x:v>4320000</x:v>
      </x:c>
      <x:c r="J11" s="10" t="n">
        <x:f>IFERROR(H11/Dashboard!$A$8,0)</x:f>
        <x:v>0.0106250604327061</x:v>
      </x:c>
    </x:row>
    <x:row r="12">
      <x:c r="A12" t="str">
        <x:v>C011</x:v>
      </x:c>
      <x:c r="B12" t="str">
        <x:v>架空法人顧客 011</x:v>
      </x:c>
      <x:c r="C12" t="str">
        <x:v>IT</x:v>
      </x:c>
      <x:c r="D12" t="str">
        <x:v>中堅企業</x:v>
      </x:c>
      <x:c r="E12" t="str">
        <x:v>継続契約</x:v>
      </x:c>
      <x:c r="F12" t="str">
        <x:v>九州・四国</x:v>
      </x:c>
      <x:c r="G12" t="str"/>
      <x:c r="H12" s="14" t="n">
        <x:f>IF(AND(Dashboard!$B$4&lt;&gt;"全部門",C12&lt;&gt;Dashboard!$B$4),0,IF(Dashboard!$L$4="通期",SUMIF(Transactions!$C$2:$C$2000,A12,Transactions!$H$2:$H$2000),SUMIFS(Transactions!$H$2:$H$2000,Transactions!$C$2:$C$2000,A12,Transactions!$E$2:$E$2000,Dashboard!$L$4)))</x:f>
        <x:v>14815000</x:v>
      </x:c>
      <x:c r="I12" s="14" t="n">
        <x:f>IF(AND(Dashboard!$B$4&lt;&gt;"全部門",C12&lt;&gt;Dashboard!$B$4),0,IF(Dashboard!$L$4="通期",SUMIF(Transactions!$C$2:$C$2000,A12,Transactions!$M$2:$M$2000),SUMIFS(Transactions!$M$2:$M$2000,Transactions!$C$2:$C$2000,A12,Transactions!$E$2:$E$2000,Dashboard!$L$4)))</x:f>
        <x:v>9681000</x:v>
      </x:c>
      <x:c r="J12" s="10" t="n">
        <x:f>IFERROR(H12/Dashboard!$A$8,0)</x:f>
        <x:v>0.02348355517089973</x:v>
      </x:c>
    </x:row>
    <x:row r="13">
      <x:c r="A13" t="str">
        <x:v>C012</x:v>
      </x:c>
      <x:c r="B13" t="str">
        <x:v>架空法人顧客 012</x:v>
      </x:c>
      <x:c r="C13" t="str">
        <x:v>IT</x:v>
      </x:c>
      <x:c r="D13" t="str">
        <x:v>中小企業</x:v>
      </x:c>
      <x:c r="E13" t="str">
        <x:v>継続契約</x:v>
      </x:c>
      <x:c r="F13" t="str">
        <x:v>関東</x:v>
      </x:c>
      <x:c r="G13" t="str"/>
      <x:c r="H13" s="14" t="n">
        <x:f>IF(AND(Dashboard!$B$4&lt;&gt;"全部門",C13&lt;&gt;Dashboard!$B$4),0,IF(Dashboard!$L$4="通期",SUMIF(Transactions!$C$2:$C$2000,A13,Transactions!$H$2:$H$2000),SUMIFS(Transactions!$H$2:$H$2000,Transactions!$C$2:$C$2000,A13,Transactions!$E$2:$E$2000,Dashboard!$L$4)))</x:f>
        <x:v>13403000</x:v>
      </x:c>
      <x:c r="I13" s="14" t="n">
        <x:f>IF(AND(Dashboard!$B$4&lt;&gt;"全部門",C13&lt;&gt;Dashboard!$B$4),0,IF(Dashboard!$L$4="通期",SUMIF(Transactions!$C$2:$C$2000,A13,Transactions!$M$2:$M$2000),SUMIFS(Transactions!$M$2:$M$2000,Transactions!$C$2:$C$2000,A13,Transactions!$E$2:$E$2000,Dashboard!$L$4)))</x:f>
        <x:v>8996000</x:v>
      </x:c>
      <x:c r="J13" s="10" t="n">
        <x:f>IFERROR(H13/Dashboard!$A$8,0)</x:f>
        <x:v>0.021245365504932102</x:v>
      </x:c>
    </x:row>
    <x:row r="14">
      <x:c r="A14" t="str">
        <x:v>C013</x:v>
      </x:c>
      <x:c r="B14" t="str">
        <x:v>架空法人顧客 013</x:v>
      </x:c>
      <x:c r="C14" t="str">
        <x:v>IT</x:v>
      </x:c>
      <x:c r="D14" t="str">
        <x:v>中堅企業</x:v>
      </x:c>
      <x:c r="E14" t="str">
        <x:v>継続契約</x:v>
      </x:c>
      <x:c r="F14" t="str">
        <x:v>関西</x:v>
      </x:c>
      <x:c r="G14" t="str"/>
      <x:c r="H14" s="14" t="n">
        <x:f>IF(AND(Dashboard!$B$4&lt;&gt;"全部門",C14&lt;&gt;Dashboard!$B$4),0,IF(Dashboard!$L$4="通期",SUMIF(Transactions!$C$2:$C$2000,A14,Transactions!$H$2:$H$2000),SUMIFS(Transactions!$H$2:$H$2000,Transactions!$C$2:$C$2000,A14,Transactions!$E$2:$E$2000,Dashboard!$L$4)))</x:f>
        <x:v>11485000</x:v>
      </x:c>
      <x:c r="I14" s="14" t="n">
        <x:f>IF(AND(Dashboard!$B$4&lt;&gt;"全部門",C14&lt;&gt;Dashboard!$B$4),0,IF(Dashboard!$L$4="通期",SUMIF(Transactions!$C$2:$C$2000,A14,Transactions!$M$2:$M$2000),SUMIFS(Transactions!$M$2:$M$2000,Transactions!$C$2:$C$2000,A14,Transactions!$E$2:$E$2000,Dashboard!$L$4)))</x:f>
        <x:v>7386000</x:v>
      </x:c>
      <x:c r="J14" s="10" t="n">
        <x:f>IFERROR(H14/Dashboard!$A$8,0)</x:f>
        <x:v>0.018205105037987404</x:v>
      </x:c>
    </x:row>
    <x:row r="15">
      <x:c r="A15" t="str">
        <x:v>C014</x:v>
      </x:c>
      <x:c r="B15" t="str">
        <x:v>架空法人顧客 014</x:v>
      </x:c>
      <x:c r="C15" t="str">
        <x:v>IT</x:v>
      </x:c>
      <x:c r="D15" t="str">
        <x:v>中堅企業</x:v>
      </x:c>
      <x:c r="E15" t="str">
        <x:v>継続契約</x:v>
      </x:c>
      <x:c r="F15" t="str">
        <x:v>中部</x:v>
      </x:c>
      <x:c r="G15" t="str"/>
      <x:c r="H15" s="14" t="n">
        <x:f>IF(AND(Dashboard!$B$4&lt;&gt;"全部門",C15&lt;&gt;Dashboard!$B$4),0,IF(Dashboard!$L$4="通期",SUMIF(Transactions!$C$2:$C$2000,A15,Transactions!$H$2:$H$2000),SUMIFS(Transactions!$H$2:$H$2000,Transactions!$C$2:$C$2000,A15,Transactions!$E$2:$E$2000,Dashboard!$L$4)))</x:f>
        <x:v>13516000</x:v>
      </x:c>
      <x:c r="I15" s="14" t="n">
        <x:f>IF(AND(Dashboard!$B$4&lt;&gt;"全部門",C15&lt;&gt;Dashboard!$B$4),0,IF(Dashboard!$L$4="通期",SUMIF(Transactions!$C$2:$C$2000,A15,Transactions!$M$2:$M$2000),SUMIFS(Transactions!$M$2:$M$2000,Transactions!$C$2:$C$2000,A15,Transactions!$E$2:$E$2000,Dashboard!$L$4)))</x:f>
        <x:v>8632000</x:v>
      </x:c>
      <x:c r="J15" s="10" t="n">
        <x:f>IFERROR(H15/Dashboard!$A$8,0)</x:f>
        <x:v>0.021424484083015914</x:v>
      </x:c>
    </x:row>
    <x:row r="16">
      <x:c r="A16" t="str">
        <x:v>C015</x:v>
      </x:c>
      <x:c r="B16" t="str">
        <x:v>架空法人顧客 015</x:v>
      </x:c>
      <x:c r="C16" t="str">
        <x:v>IT</x:v>
      </x:c>
      <x:c r="D16" t="str">
        <x:v>中小企業</x:v>
      </x:c>
      <x:c r="E16" t="str">
        <x:v>スポット中心</x:v>
      </x:c>
      <x:c r="F16" t="str">
        <x:v>九州・四国</x:v>
      </x:c>
      <x:c r="G16" t="str"/>
      <x:c r="H16" s="14" t="n">
        <x:f>IF(AND(Dashboard!$B$4&lt;&gt;"全部門",C16&lt;&gt;Dashboard!$B$4),0,IF(Dashboard!$L$4="通期",SUMIF(Transactions!$C$2:$C$2000,A16,Transactions!$H$2:$H$2000),SUMIFS(Transactions!$H$2:$H$2000,Transactions!$C$2:$C$2000,A16,Transactions!$E$2:$E$2000,Dashboard!$L$4)))</x:f>
        <x:v>9131000</x:v>
      </x:c>
      <x:c r="I16" s="14" t="n">
        <x:f>IF(AND(Dashboard!$B$4&lt;&gt;"全部門",C16&lt;&gt;Dashboard!$B$4),0,IF(Dashboard!$L$4="通期",SUMIF(Transactions!$C$2:$C$2000,A16,Transactions!$M$2:$M$2000),SUMIFS(Transactions!$M$2:$M$2000,Transactions!$C$2:$C$2000,A16,Transactions!$E$2:$E$2000,Dashboard!$L$4)))</x:f>
        <x:v>5756000</x:v>
      </x:c>
      <x:c r="J16" s="10" t="n">
        <x:f>IFERROR(H16/Dashboard!$A$8,0)</x:f>
        <x:v>0.014473732181268</x:v>
      </x:c>
    </x:row>
    <x:row r="17">
      <x:c r="A17" t="str">
        <x:v>C016</x:v>
      </x:c>
      <x:c r="B17" t="str">
        <x:v>架空法人顧客 016</x:v>
      </x:c>
      <x:c r="C17" t="str">
        <x:v>IT</x:v>
      </x:c>
      <x:c r="D17" t="str">
        <x:v>中堅企業</x:v>
      </x:c>
      <x:c r="E17" t="str">
        <x:v>継続契約</x:v>
      </x:c>
      <x:c r="F17" t="str">
        <x:v>関東</x:v>
      </x:c>
      <x:c r="G17" t="str"/>
      <x:c r="H17" s="14" t="n">
        <x:f>IF(AND(Dashboard!$B$4&lt;&gt;"全部門",C17&lt;&gt;Dashboard!$B$4),0,IF(Dashboard!$L$4="通期",SUMIF(Transactions!$C$2:$C$2000,A17,Transactions!$H$2:$H$2000),SUMIFS(Transactions!$H$2:$H$2000,Transactions!$C$2:$C$2000,A17,Transactions!$E$2:$E$2000,Dashboard!$L$4)))</x:f>
        <x:v>12634000</x:v>
      </x:c>
      <x:c r="I17" s="14" t="n">
        <x:f>IF(AND(Dashboard!$B$4&lt;&gt;"全部門",C17&lt;&gt;Dashboard!$B$4),0,IF(Dashboard!$L$4="通期",SUMIF(Transactions!$C$2:$C$2000,A17,Transactions!$M$2:$M$2000),SUMIFS(Transactions!$M$2:$M$2000,Transactions!$C$2:$C$2000,A17,Transactions!$E$2:$E$2000,Dashboard!$L$4)))</x:f>
        <x:v>8196000</x:v>
      </x:c>
      <x:c r="J17" s="10" t="n">
        <x:f>IFERROR(H17/Dashboard!$A$8,0)</x:f>
        <x:v>0.02002640810186616</x:v>
      </x:c>
    </x:row>
    <x:row r="18">
      <x:c r="A18" t="str">
        <x:v>C017</x:v>
      </x:c>
      <x:c r="B18" t="str">
        <x:v>架空法人顧客 017</x:v>
      </x:c>
      <x:c r="C18" t="str">
        <x:v>IT</x:v>
      </x:c>
      <x:c r="D18" t="str">
        <x:v>中堅企業</x:v>
      </x:c>
      <x:c r="E18" t="str">
        <x:v>継続契約</x:v>
      </x:c>
      <x:c r="F18" t="str">
        <x:v>関西</x:v>
      </x:c>
      <x:c r="G18" t="str"/>
      <x:c r="H18" s="14" t="n">
        <x:f>IF(AND(Dashboard!$B$4&lt;&gt;"全部門",C18&lt;&gt;Dashboard!$B$4),0,IF(Dashboard!$L$4="通期",SUMIF(Transactions!$C$2:$C$2000,A18,Transactions!$H$2:$H$2000),SUMIFS(Transactions!$H$2:$H$2000,Transactions!$C$2:$C$2000,A18,Transactions!$E$2:$E$2000,Dashboard!$L$4)))</x:f>
        <x:v>12675000</x:v>
      </x:c>
      <x:c r="I18" s="14" t="n">
        <x:f>IF(AND(Dashboard!$B$4&lt;&gt;"全部門",C18&lt;&gt;Dashboard!$B$4),0,IF(Dashboard!$L$4="通期",SUMIF(Transactions!$C$2:$C$2000,A18,Transactions!$M$2:$M$2000),SUMIFS(Transactions!$M$2:$M$2000,Transactions!$C$2:$C$2000,A18,Transactions!$E$2:$E$2000,Dashboard!$L$4)))</x:f>
        <x:v>8202000</x:v>
      </x:c>
      <x:c r="J18" s="10" t="n">
        <x:f>IFERROR(H18/Dashboard!$A$8,0)</x:f>
        <x:v>0.020091398028427545</x:v>
      </x:c>
    </x:row>
    <x:row r="19">
      <x:c r="A19" t="str">
        <x:v>C018</x:v>
      </x:c>
      <x:c r="B19" t="str">
        <x:v>架空法人顧客 018</x:v>
      </x:c>
      <x:c r="C19" t="str">
        <x:v>IT</x:v>
      </x:c>
      <x:c r="D19" t="str">
        <x:v>中小企業</x:v>
      </x:c>
      <x:c r="E19" t="str">
        <x:v>継続契約</x:v>
      </x:c>
      <x:c r="F19" t="str">
        <x:v>中部</x:v>
      </x:c>
      <x:c r="G19" t="str"/>
      <x:c r="H19" s="14" t="n">
        <x:f>IF(AND(Dashboard!$B$4&lt;&gt;"全部門",C19&lt;&gt;Dashboard!$B$4),0,IF(Dashboard!$L$4="通期",SUMIF(Transactions!$C$2:$C$2000,A19,Transactions!$H$2:$H$2000),SUMIFS(Transactions!$H$2:$H$2000,Transactions!$C$2:$C$2000,A19,Transactions!$E$2:$E$2000,Dashboard!$L$4)))</x:f>
        <x:v>14544000</x:v>
      </x:c>
      <x:c r="I19" s="14" t="n">
        <x:f>IF(AND(Dashboard!$B$4&lt;&gt;"全部門",C19&lt;&gt;Dashboard!$B$4),0,IF(Dashboard!$L$4="通期",SUMIF(Transactions!$C$2:$C$2000,A19,Transactions!$M$2:$M$2000),SUMIFS(Transactions!$M$2:$M$2000,Transactions!$C$2:$C$2000,A19,Transactions!$E$2:$E$2000,Dashboard!$L$4)))</x:f>
        <x:v>9503000</x:v>
      </x:c>
      <x:c r="J19" s="10" t="n">
        <x:f>IFERROR(H19/Dashboard!$A$8,0)</x:f>
        <x:v>0.02305398760753059</x:v>
      </x:c>
    </x:row>
    <x:row r="20">
      <x:c r="A20" t="str">
        <x:v>C019</x:v>
      </x:c>
      <x:c r="B20" t="str">
        <x:v>架空法人顧客 019</x:v>
      </x:c>
      <x:c r="C20" t="str">
        <x:v>BPO</x:v>
      </x:c>
      <x:c r="D20" t="str">
        <x:v>大企業</x:v>
      </x:c>
      <x:c r="E20" t="str">
        <x:v>継続契約</x:v>
      </x:c>
      <x:c r="F20" t="str">
        <x:v>九州・四国</x:v>
      </x:c>
      <x:c r="G20" t="str"/>
      <x:c r="H20" s="14" t="n">
        <x:f>IF(AND(Dashboard!$B$4&lt;&gt;"全部門",C20&lt;&gt;Dashboard!$B$4),0,IF(Dashboard!$L$4="通期",SUMIF(Transactions!$C$2:$C$2000,A20,Transactions!$H$2:$H$2000),SUMIFS(Transactions!$H$2:$H$2000,Transactions!$C$2:$C$2000,A20,Transactions!$E$2:$E$2000,Dashboard!$L$4)))</x:f>
        <x:v>36453000</x:v>
      </x:c>
      <x:c r="I20" s="14" t="n">
        <x:f>IF(AND(Dashboard!$B$4&lt;&gt;"全部門",C20&lt;&gt;Dashboard!$B$4),0,IF(Dashboard!$L$4="通期",SUMIF(Transactions!$C$2:$C$2000,A20,Transactions!$M$2:$M$2000),SUMIFS(Transactions!$M$2:$M$2000,Transactions!$C$2:$C$2000,A20,Transactions!$E$2:$E$2000,Dashboard!$L$4)))</x:f>
        <x:v>25840000</x:v>
      </x:c>
      <x:c r="J20" s="10" t="n">
        <x:f>IFERROR(H20/Dashboard!$A$8,0)</x:f>
        <x:v>0.05778238519370961</x:v>
      </x:c>
    </x:row>
    <x:row r="21">
      <x:c r="A21" t="str">
        <x:v>C020</x:v>
      </x:c>
      <x:c r="B21" t="str">
        <x:v>架空法人顧客 020</x:v>
      </x:c>
      <x:c r="C21" t="str">
        <x:v>BPO</x:v>
      </x:c>
      <x:c r="D21" t="str">
        <x:v>大企業</x:v>
      </x:c>
      <x:c r="E21" t="str">
        <x:v>継続契約</x:v>
      </x:c>
      <x:c r="F21" t="str">
        <x:v>関東</x:v>
      </x:c>
      <x:c r="G21" t="str"/>
      <x:c r="H21" s="14" t="n">
        <x:f>IF(AND(Dashboard!$B$4&lt;&gt;"全部門",C21&lt;&gt;Dashboard!$B$4),0,IF(Dashboard!$L$4="通期",SUMIF(Transactions!$C$2:$C$2000,A21,Transactions!$H$2:$H$2000),SUMIFS(Transactions!$H$2:$H$2000,Transactions!$C$2:$C$2000,A21,Transactions!$E$2:$E$2000,Dashboard!$L$4)))</x:f>
        <x:v>25402000</x:v>
      </x:c>
      <x:c r="I21" s="14" t="n">
        <x:f>IF(AND(Dashboard!$B$4&lt;&gt;"全部門",C21&lt;&gt;Dashboard!$B$4),0,IF(Dashboard!$L$4="通期",SUMIF(Transactions!$C$2:$C$2000,A21,Transactions!$M$2:$M$2000),SUMIFS(Transactions!$M$2:$M$2000,Transactions!$C$2:$C$2000,A21,Transactions!$E$2:$E$2000,Dashboard!$L$4)))</x:f>
        <x:v>17448000</x:v>
      </x:c>
      <x:c r="J21" s="10" t="n">
        <x:f>IFERROR(H21/Dashboard!$A$8,0)</x:f>
        <x:v>0.040265222305176845</x:v>
      </x:c>
    </x:row>
    <x:row r="22">
      <x:c r="A22" t="str">
        <x:v>C021</x:v>
      </x:c>
      <x:c r="B22" t="str">
        <x:v>架空法人顧客 021</x:v>
      </x:c>
      <x:c r="C22" t="str">
        <x:v>BPO</x:v>
      </x:c>
      <x:c r="D22" t="str">
        <x:v>中小企業</x:v>
      </x:c>
      <x:c r="E22" t="str">
        <x:v>継続契約</x:v>
      </x:c>
      <x:c r="F22" t="str">
        <x:v>関西</x:v>
      </x:c>
      <x:c r="G22" t="str"/>
      <x:c r="H22" s="14" t="n">
        <x:f>IF(AND(Dashboard!$B$4&lt;&gt;"全部門",C22&lt;&gt;Dashboard!$B$4),0,IF(Dashboard!$L$4="通期",SUMIF(Transactions!$C$2:$C$2000,A22,Transactions!$H$2:$H$2000),SUMIFS(Transactions!$H$2:$H$2000,Transactions!$C$2:$C$2000,A22,Transactions!$E$2:$E$2000,Dashboard!$L$4)))</x:f>
        <x:v>13000000</x:v>
      </x:c>
      <x:c r="I22" s="14" t="n">
        <x:f>IF(AND(Dashboard!$B$4&lt;&gt;"全部門",C22&lt;&gt;Dashboard!$B$4),0,IF(Dashboard!$L$4="通期",SUMIF(Transactions!$C$2:$C$2000,A22,Transactions!$M$2:$M$2000),SUMIFS(Transactions!$M$2:$M$2000,Transactions!$C$2:$C$2000,A22,Transactions!$E$2:$E$2000,Dashboard!$L$4)))</x:f>
        <x:v>9206000</x:v>
      </x:c>
      <x:c r="J22" s="10" t="n">
        <x:f>IFERROR(H22/Dashboard!$A$8,0)</x:f>
        <x:v>0.02060656208043851</x:v>
      </x:c>
    </x:row>
    <x:row r="23">
      <x:c r="A23" t="str">
        <x:v>C022</x:v>
      </x:c>
      <x:c r="B23" t="str">
        <x:v>架空法人顧客 022</x:v>
      </x:c>
      <x:c r="C23" t="str">
        <x:v>BPO</x:v>
      </x:c>
      <x:c r="D23" t="str">
        <x:v>中堅企業</x:v>
      </x:c>
      <x:c r="E23" t="str">
        <x:v>継続契約</x:v>
      </x:c>
      <x:c r="F23" t="str">
        <x:v>中部</x:v>
      </x:c>
      <x:c r="G23" t="str"/>
      <x:c r="H23" s="14" t="n">
        <x:f>IF(AND(Dashboard!$B$4&lt;&gt;"全部門",C23&lt;&gt;Dashboard!$B$4),0,IF(Dashboard!$L$4="通期",SUMIF(Transactions!$C$2:$C$2000,A23,Transactions!$H$2:$H$2000),SUMIFS(Transactions!$H$2:$H$2000,Transactions!$C$2:$C$2000,A23,Transactions!$E$2:$E$2000,Dashboard!$L$4)))</x:f>
        <x:v>11691000</x:v>
      </x:c>
      <x:c r="I23" s="14" t="n">
        <x:f>IF(AND(Dashboard!$B$4&lt;&gt;"全部門",C23&lt;&gt;Dashboard!$B$4),0,IF(Dashboard!$L$4="通期",SUMIF(Transactions!$C$2:$C$2000,A23,Transactions!$M$2:$M$2000),SUMIFS(Transactions!$M$2:$M$2000,Transactions!$C$2:$C$2000,A23,Transactions!$E$2:$E$2000,Dashboard!$L$4)))</x:f>
        <x:v>8051000</x:v>
      </x:c>
      <x:c r="J23" s="10" t="n">
        <x:f>IFERROR(H23/Dashboard!$A$8,0)</x:f>
        <x:v>0.018531639790954353</x:v>
      </x:c>
    </x:row>
    <x:row r="24">
      <x:c r="A24" t="str">
        <x:v>C023</x:v>
      </x:c>
      <x:c r="B24" t="str">
        <x:v>架空法人顧客 023</x:v>
      </x:c>
      <x:c r="C24" t="str">
        <x:v>BPO</x:v>
      </x:c>
      <x:c r="D24" t="str">
        <x:v>中堅企業</x:v>
      </x:c>
      <x:c r="E24" t="str">
        <x:v>継続契約</x:v>
      </x:c>
      <x:c r="F24" t="str">
        <x:v>九州・四国</x:v>
      </x:c>
      <x:c r="G24" t="str"/>
      <x:c r="H24" s="14" t="n">
        <x:f>IF(AND(Dashboard!$B$4&lt;&gt;"全部門",C24&lt;&gt;Dashboard!$B$4),0,IF(Dashboard!$L$4="通期",SUMIF(Transactions!$C$2:$C$2000,A24,Transactions!$H$2:$H$2000),SUMIFS(Transactions!$H$2:$H$2000,Transactions!$C$2:$C$2000,A24,Transactions!$E$2:$E$2000,Dashboard!$L$4)))</x:f>
        <x:v>15676000</x:v>
      </x:c>
      <x:c r="I24" s="14" t="n">
        <x:f>IF(AND(Dashboard!$B$4&lt;&gt;"全部門",C24&lt;&gt;Dashboard!$B$4),0,IF(Dashboard!$L$4="通期",SUMIF(Transactions!$C$2:$C$2000,A24,Transactions!$M$2:$M$2000),SUMIFS(Transactions!$M$2:$M$2000,Transactions!$C$2:$C$2000,A24,Transactions!$E$2:$E$2000,Dashboard!$L$4)))</x:f>
        <x:v>10942000</x:v>
      </x:c>
      <x:c r="J24" s="10" t="n">
        <x:f>IFERROR(H24/Dashboard!$A$8,0)</x:f>
        <x:v>0.024848343628688773</x:v>
      </x:c>
    </x:row>
    <x:row r="25">
      <x:c r="A25" t="str">
        <x:v>C024</x:v>
      </x:c>
      <x:c r="B25" t="str">
        <x:v>架空法人顧客 024</x:v>
      </x:c>
      <x:c r="C25" t="str">
        <x:v>BPO</x:v>
      </x:c>
      <x:c r="D25" t="str">
        <x:v>中小企業</x:v>
      </x:c>
      <x:c r="E25" t="str">
        <x:v>継続契約</x:v>
      </x:c>
      <x:c r="F25" t="str">
        <x:v>関東</x:v>
      </x:c>
      <x:c r="G25" t="str"/>
      <x:c r="H25" s="14" t="n">
        <x:f>IF(AND(Dashboard!$B$4&lt;&gt;"全部門",C25&lt;&gt;Dashboard!$B$4),0,IF(Dashboard!$L$4="通期",SUMIF(Transactions!$C$2:$C$2000,A25,Transactions!$H$2:$H$2000),SUMIFS(Transactions!$H$2:$H$2000,Transactions!$C$2:$C$2000,A25,Transactions!$E$2:$E$2000,Dashboard!$L$4)))</x:f>
        <x:v>10628000</x:v>
      </x:c>
      <x:c r="I25" s="14" t="n">
        <x:f>IF(AND(Dashboard!$B$4&lt;&gt;"全部門",C25&lt;&gt;Dashboard!$B$4),0,IF(Dashboard!$L$4="通期",SUMIF(Transactions!$C$2:$C$2000,A25,Transactions!$M$2:$M$2000),SUMIFS(Transactions!$M$2:$M$2000,Transactions!$C$2:$C$2000,A25,Transactions!$E$2:$E$2000,Dashboard!$L$4)))</x:f>
        <x:v>7540000</x:v>
      </x:c>
      <x:c r="J25" s="10" t="n">
        <x:f>IFERROR(H25/Dashboard!$A$8,0)</x:f>
        <x:v>0.0168466570608385</x:v>
      </x:c>
    </x:row>
    <x:row r="26">
      <x:c r="A26" t="str">
        <x:v>C025</x:v>
      </x:c>
      <x:c r="B26" t="str">
        <x:v>架空法人顧客 025</x:v>
      </x:c>
      <x:c r="C26" t="str">
        <x:v>BPO</x:v>
      </x:c>
      <x:c r="D26" t="str">
        <x:v>中堅企業</x:v>
      </x:c>
      <x:c r="E26" t="str">
        <x:v>継続契約</x:v>
      </x:c>
      <x:c r="F26" t="str">
        <x:v>関西</x:v>
      </x:c>
      <x:c r="G26" t="str"/>
      <x:c r="H26" s="14" t="n">
        <x:f>IF(AND(Dashboard!$B$4&lt;&gt;"全部門",C26&lt;&gt;Dashboard!$B$4),0,IF(Dashboard!$L$4="通期",SUMIF(Transactions!$C$2:$C$2000,A26,Transactions!$H$2:$H$2000),SUMIFS(Transactions!$H$2:$H$2000,Transactions!$C$2:$C$2000,A26,Transactions!$E$2:$E$2000,Dashboard!$L$4)))</x:f>
        <x:v>13230000</x:v>
      </x:c>
      <x:c r="I26" s="14" t="n">
        <x:f>IF(AND(Dashboard!$B$4&lt;&gt;"全部門",C26&lt;&gt;Dashboard!$B$4),0,IF(Dashboard!$L$4="通期",SUMIF(Transactions!$C$2:$C$2000,A26,Transactions!$M$2:$M$2000),SUMIFS(Transactions!$M$2:$M$2000,Transactions!$C$2:$C$2000,A26,Transactions!$E$2:$E$2000,Dashboard!$L$4)))</x:f>
        <x:v>9247000</x:v>
      </x:c>
      <x:c r="J26" s="10" t="n">
        <x:f>IFERROR(H26/Dashboard!$A$8,0)</x:f>
        <x:v>0.020971139717246266</x:v>
      </x:c>
    </x:row>
    <x:row r="27">
      <x:c r="A27" t="str">
        <x:v>C026</x:v>
      </x:c>
      <x:c r="B27" t="str">
        <x:v>架空法人顧客 026</x:v>
      </x:c>
      <x:c r="C27" t="str">
        <x:v>BPO</x:v>
      </x:c>
      <x:c r="D27" t="str">
        <x:v>中堅企業</x:v>
      </x:c>
      <x:c r="E27" t="str">
        <x:v>継続契約</x:v>
      </x:c>
      <x:c r="F27" t="str">
        <x:v>中部</x:v>
      </x:c>
      <x:c r="G27" t="str"/>
      <x:c r="H27" s="14" t="n">
        <x:f>IF(AND(Dashboard!$B$4&lt;&gt;"全部門",C27&lt;&gt;Dashboard!$B$4),0,IF(Dashboard!$L$4="通期",SUMIF(Transactions!$C$2:$C$2000,A27,Transactions!$H$2:$H$2000),SUMIFS(Transactions!$H$2:$H$2000,Transactions!$C$2:$C$2000,A27,Transactions!$E$2:$E$2000,Dashboard!$L$4)))</x:f>
        <x:v>12094000</x:v>
      </x:c>
      <x:c r="I27" s="14" t="n">
        <x:f>IF(AND(Dashboard!$B$4&lt;&gt;"全部門",C27&lt;&gt;Dashboard!$B$4),0,IF(Dashboard!$L$4="通期",SUMIF(Transactions!$C$2:$C$2000,A27,Transactions!$M$2:$M$2000),SUMIFS(Transactions!$M$2:$M$2000,Transactions!$C$2:$C$2000,A27,Transactions!$E$2:$E$2000,Dashboard!$L$4)))</x:f>
        <x:v>8563000</x:v>
      </x:c>
      <x:c r="J27" s="10" t="n">
        <x:f>IFERROR(H27/Dashboard!$A$8,0)</x:f>
        <x:v>0.019170443215447946</x:v>
      </x:c>
    </x:row>
    <x:row r="28">
      <x:c r="A28" t="str">
        <x:v>C027</x:v>
      </x:c>
      <x:c r="B28" t="str">
        <x:v>架空法人顧客 027</x:v>
      </x:c>
      <x:c r="C28" t="str">
        <x:v>BPO</x:v>
      </x:c>
      <x:c r="D28" t="str">
        <x:v>中小企業</x:v>
      </x:c>
      <x:c r="E28" t="str">
        <x:v>継続契約</x:v>
      </x:c>
      <x:c r="F28" t="str">
        <x:v>九州・四国</x:v>
      </x:c>
      <x:c r="G28" t="str"/>
      <x:c r="H28" s="14" t="n">
        <x:f>IF(AND(Dashboard!$B$4&lt;&gt;"全部門",C28&lt;&gt;Dashboard!$B$4),0,IF(Dashboard!$L$4="通期",SUMIF(Transactions!$C$2:$C$2000,A28,Transactions!$H$2:$H$2000),SUMIFS(Transactions!$H$2:$H$2000,Transactions!$C$2:$C$2000,A28,Transactions!$E$2:$E$2000,Dashboard!$L$4)))</x:f>
        <x:v>14259000</x:v>
      </x:c>
      <x:c r="I28" s="14" t="n">
        <x:f>IF(AND(Dashboard!$B$4&lt;&gt;"全部門",C28&lt;&gt;Dashboard!$B$4),0,IF(Dashboard!$L$4="通期",SUMIF(Transactions!$C$2:$C$2000,A28,Transactions!$M$2:$M$2000),SUMIFS(Transactions!$M$2:$M$2000,Transactions!$C$2:$C$2000,A28,Transactions!$E$2:$E$2000,Dashboard!$L$4)))</x:f>
        <x:v>10087000</x:v>
      </x:c>
      <x:c r="J28" s="10" t="n">
        <x:f>IFERROR(H28/Dashboard!$A$8,0)</x:f>
        <x:v>0.022602228361920974</x:v>
      </x:c>
    </x:row>
    <x:row r="29">
      <x:c r="A29" t="str">
        <x:v>C028</x:v>
      </x:c>
      <x:c r="B29" t="str">
        <x:v>架空法人顧客 028</x:v>
      </x:c>
      <x:c r="C29" t="str">
        <x:v>BPO</x:v>
      </x:c>
      <x:c r="D29" t="str">
        <x:v>中堅企業</x:v>
      </x:c>
      <x:c r="E29" t="str">
        <x:v>継続契約</x:v>
      </x:c>
      <x:c r="F29" t="str">
        <x:v>関東</x:v>
      </x:c>
      <x:c r="G29" t="str"/>
      <x:c r="H29" s="14" t="n">
        <x:f>IF(AND(Dashboard!$B$4&lt;&gt;"全部門",C29&lt;&gt;Dashboard!$B$4),0,IF(Dashboard!$L$4="通期",SUMIF(Transactions!$C$2:$C$2000,A29,Transactions!$H$2:$H$2000),SUMIFS(Transactions!$H$2:$H$2000,Transactions!$C$2:$C$2000,A29,Transactions!$E$2:$E$2000,Dashboard!$L$4)))</x:f>
        <x:v>13920000</x:v>
      </x:c>
      <x:c r="I29" s="14" t="n">
        <x:f>IF(AND(Dashboard!$B$4&lt;&gt;"全部門",C29&lt;&gt;Dashboard!$B$4),0,IF(Dashboard!$L$4="通期",SUMIF(Transactions!$C$2:$C$2000,A29,Transactions!$M$2:$M$2000),SUMIFS(Transactions!$M$2:$M$2000,Transactions!$C$2:$C$2000,A29,Transactions!$E$2:$E$2000,Dashboard!$L$4)))</x:f>
        <x:v>9899000</x:v>
      </x:c>
      <x:c r="J29" s="10" t="n">
        <x:f>IFERROR(H29/Dashboard!$A$8,0)</x:f>
        <x:v>0.02206487262766954</x:v>
      </x:c>
    </x:row>
    <x:row r="30">
      <x:c r="A30" t="str">
        <x:v>C029</x:v>
      </x:c>
      <x:c r="B30" t="str">
        <x:v>架空法人顧客 029</x:v>
      </x:c>
      <x:c r="C30" t="str">
        <x:v>BPO</x:v>
      </x:c>
      <x:c r="D30" t="str">
        <x:v>中堅企業</x:v>
      </x:c>
      <x:c r="E30" t="str">
        <x:v>継続契約</x:v>
      </x:c>
      <x:c r="F30" t="str">
        <x:v>関西</x:v>
      </x:c>
      <x:c r="G30" t="str"/>
      <x:c r="H30" s="14" t="n">
        <x:f>IF(AND(Dashboard!$B$4&lt;&gt;"全部門",C30&lt;&gt;Dashboard!$B$4),0,IF(Dashboard!$L$4="通期",SUMIF(Transactions!$C$2:$C$2000,A30,Transactions!$H$2:$H$2000),SUMIFS(Transactions!$H$2:$H$2000,Transactions!$C$2:$C$2000,A30,Transactions!$E$2:$E$2000,Dashboard!$L$4)))</x:f>
        <x:v>13796000</x:v>
      </x:c>
      <x:c r="I30" s="14" t="n">
        <x:f>IF(AND(Dashboard!$B$4&lt;&gt;"全部門",C30&lt;&gt;Dashboard!$B$4),0,IF(Dashboard!$L$4="通期",SUMIF(Transactions!$C$2:$C$2000,A30,Transactions!$M$2:$M$2000),SUMIFS(Transactions!$M$2:$M$2000,Transactions!$C$2:$C$2000,A30,Transactions!$E$2:$E$2000,Dashboard!$L$4)))</x:f>
        <x:v>9642000</x:v>
      </x:c>
      <x:c r="J30" s="10" t="n">
        <x:f>IFERROR(H30/Dashboard!$A$8,0)</x:f>
        <x:v>0.021868317727825357</x:v>
      </x:c>
    </x:row>
    <x:row r="31">
      <x:c r="A31" t="str">
        <x:v>C030</x:v>
      </x:c>
      <x:c r="B31" t="str">
        <x:v>架空法人顧客 030</x:v>
      </x:c>
      <x:c r="C31" t="str">
        <x:v>BPO</x:v>
      </x:c>
      <x:c r="D31" t="str">
        <x:v>中小企業</x:v>
      </x:c>
      <x:c r="E31" t="str">
        <x:v>継続契約</x:v>
      </x:c>
      <x:c r="F31" t="str">
        <x:v>中部</x:v>
      </x:c>
      <x:c r="G31" t="str"/>
      <x:c r="H31" s="14" t="n">
        <x:f>IF(AND(Dashboard!$B$4&lt;&gt;"全部門",C31&lt;&gt;Dashboard!$B$4),0,IF(Dashboard!$L$4="通期",SUMIF(Transactions!$C$2:$C$2000,A31,Transactions!$H$2:$H$2000),SUMIFS(Transactions!$H$2:$H$2000,Transactions!$C$2:$C$2000,A31,Transactions!$E$2:$E$2000,Dashboard!$L$4)))</x:f>
        <x:v>16539000</x:v>
      </x:c>
      <x:c r="I31" s="14" t="n">
        <x:f>IF(AND(Dashboard!$B$4&lt;&gt;"全部門",C31&lt;&gt;Dashboard!$B$4),0,IF(Dashboard!$L$4="通期",SUMIF(Transactions!$C$2:$C$2000,A31,Transactions!$M$2:$M$2000),SUMIFS(Transactions!$M$2:$M$2000,Transactions!$C$2:$C$2000,A31,Transactions!$E$2:$E$2000,Dashboard!$L$4)))</x:f>
        <x:v>11395000</x:v>
      </x:c>
      <x:c r="J31" s="10" t="n">
        <x:f>IFERROR(H31/Dashboard!$A$8,0)</x:f>
        <x:v>0.026216302326797884</x:v>
      </x:c>
    </x:row>
    <x:row r="32">
      <x:c r="A32" t="str">
        <x:v>C031</x:v>
      </x:c>
      <x:c r="B32" t="str">
        <x:v>架空法人顧客 031</x:v>
      </x:c>
      <x:c r="C32" t="str">
        <x:v>BPO</x:v>
      </x:c>
      <x:c r="D32" t="str">
        <x:v>中堅企業</x:v>
      </x:c>
      <x:c r="E32" t="str">
        <x:v>継続契約</x:v>
      </x:c>
      <x:c r="F32" t="str">
        <x:v>九州・四国</x:v>
      </x:c>
      <x:c r="G32" t="str"/>
      <x:c r="H32" s="14" t="n">
        <x:f>IF(AND(Dashboard!$B$4&lt;&gt;"全部門",C32&lt;&gt;Dashboard!$B$4),0,IF(Dashboard!$L$4="通期",SUMIF(Transactions!$C$2:$C$2000,A32,Transactions!$H$2:$H$2000),SUMIFS(Transactions!$H$2:$H$2000,Transactions!$C$2:$C$2000,A32,Transactions!$E$2:$E$2000,Dashboard!$L$4)))</x:f>
        <x:v>15333000</x:v>
      </x:c>
      <x:c r="I32" s="14" t="n">
        <x:f>IF(AND(Dashboard!$B$4&lt;&gt;"全部門",C32&lt;&gt;Dashboard!$B$4),0,IF(Dashboard!$L$4="通期",SUMIF(Transactions!$C$2:$C$2000,A32,Transactions!$M$2:$M$2000),SUMIFS(Transactions!$M$2:$M$2000,Transactions!$C$2:$C$2000,A32,Transactions!$E$2:$E$2000,Dashboard!$L$4)))</x:f>
        <x:v>10725000</x:v>
      </x:c>
      <x:c r="J32" s="10" t="n">
        <x:f>IFERROR(H32/Dashboard!$A$8,0)</x:f>
        <x:v>0.024304647413797204</x:v>
      </x:c>
    </x:row>
    <x:row r="33">
      <x:c r="A33" t="str">
        <x:v>C032</x:v>
      </x:c>
      <x:c r="B33" t="str">
        <x:v>架空法人顧客 032</x:v>
      </x:c>
      <x:c r="C33" t="str">
        <x:v>BPO</x:v>
      </x:c>
      <x:c r="D33" t="str">
        <x:v>中堅企業</x:v>
      </x:c>
      <x:c r="E33" t="str">
        <x:v>継続契約</x:v>
      </x:c>
      <x:c r="F33" t="str">
        <x:v>関東</x:v>
      </x:c>
      <x:c r="G33" t="str"/>
      <x:c r="H33" s="14" t="n">
        <x:f>IF(AND(Dashboard!$B$4&lt;&gt;"全部門",C33&lt;&gt;Dashboard!$B$4),0,IF(Dashboard!$L$4="通期",SUMIF(Transactions!$C$2:$C$2000,A33,Transactions!$H$2:$H$2000),SUMIFS(Transactions!$H$2:$H$2000,Transactions!$C$2:$C$2000,A33,Transactions!$E$2:$E$2000,Dashboard!$L$4)))</x:f>
        <x:v>12879000</x:v>
      </x:c>
      <x:c r="I33" s="14" t="n">
        <x:f>IF(AND(Dashboard!$B$4&lt;&gt;"全部門",C33&lt;&gt;Dashboard!$B$4),0,IF(Dashboard!$L$4="通期",SUMIF(Transactions!$C$2:$C$2000,A33,Transactions!$M$2:$M$2000),SUMIFS(Transactions!$M$2:$M$2000,Transactions!$C$2:$C$2000,A33,Transactions!$E$2:$E$2000,Dashboard!$L$4)))</x:f>
        <x:v>9097000</x:v>
      </x:c>
      <x:c r="J33" s="10" t="n">
        <x:f>IFERROR(H33/Dashboard!$A$8,0)</x:f>
        <x:v>0.020414762541074428</x:v>
      </x:c>
    </x:row>
    <x:row r="34">
      <x:c r="A34" t="str">
        <x:v>C033</x:v>
      </x:c>
      <x:c r="B34" t="str">
        <x:v>架空法人顧客 033</x:v>
      </x:c>
      <x:c r="C34" t="str">
        <x:v>BPO</x:v>
      </x:c>
      <x:c r="D34" t="str">
        <x:v>中小企業</x:v>
      </x:c>
      <x:c r="E34" t="str">
        <x:v>継続契約</x:v>
      </x:c>
      <x:c r="F34" t="str">
        <x:v>関西</x:v>
      </x:c>
      <x:c r="G34" t="str"/>
      <x:c r="H34" s="14" t="n">
        <x:f>IF(AND(Dashboard!$B$4&lt;&gt;"全部門",C34&lt;&gt;Dashboard!$B$4),0,IF(Dashboard!$L$4="通期",SUMIF(Transactions!$C$2:$C$2000,A34,Transactions!$H$2:$H$2000),SUMIFS(Transactions!$H$2:$H$2000,Transactions!$C$2:$C$2000,A34,Transactions!$E$2:$E$2000,Dashboard!$L$4)))</x:f>
        <x:v>14060000</x:v>
      </x:c>
      <x:c r="I34" s="14" t="n">
        <x:f>IF(AND(Dashboard!$B$4&lt;&gt;"全部門",C34&lt;&gt;Dashboard!$B$4),0,IF(Dashboard!$L$4="通期",SUMIF(Transactions!$C$2:$C$2000,A34,Transactions!$M$2:$M$2000),SUMIFS(Transactions!$M$2:$M$2000,Transactions!$C$2:$C$2000,A34,Transactions!$E$2:$E$2000,Dashboard!$L$4)))</x:f>
        <x:v>10021000</x:v>
      </x:c>
      <x:c r="J34" s="10" t="n">
        <x:f>IFERROR(H34/Dashboard!$A$8,0)</x:f>
        <x:v>0.022286789450074264</x:v>
      </x:c>
    </x:row>
    <x:row r="35">
      <x:c r="A35" t="str">
        <x:v>C034</x:v>
      </x:c>
      <x:c r="B35" t="str">
        <x:v>架空法人顧客 034</x:v>
      </x:c>
      <x:c r="C35" t="str">
        <x:v>TRN</x:v>
      </x:c>
      <x:c r="D35" t="str">
        <x:v>大企業</x:v>
      </x:c>
      <x:c r="E35" t="str">
        <x:v>継続契約</x:v>
      </x:c>
      <x:c r="F35" t="str">
        <x:v>中部</x:v>
      </x:c>
      <x:c r="G35" t="str"/>
      <x:c r="H35" s="14" t="n">
        <x:f>IF(AND(Dashboard!$B$4&lt;&gt;"全部門",C35&lt;&gt;Dashboard!$B$4),0,IF(Dashboard!$L$4="通期",SUMIF(Transactions!$C$2:$C$2000,A35,Transactions!$H$2:$H$2000),SUMIFS(Transactions!$H$2:$H$2000,Transactions!$C$2:$C$2000,A35,Transactions!$E$2:$E$2000,Dashboard!$L$4)))</x:f>
        <x:v>12596000</x:v>
      </x:c>
      <x:c r="I35" s="14" t="n">
        <x:f>IF(AND(Dashboard!$B$4&lt;&gt;"全部門",C35&lt;&gt;Dashboard!$B$4),0,IF(Dashboard!$L$4="通期",SUMIF(Transactions!$C$2:$C$2000,A35,Transactions!$M$2:$M$2000),SUMIFS(Transactions!$M$2:$M$2000,Transactions!$C$2:$C$2000,A35,Transactions!$E$2:$E$2000,Dashboard!$L$4)))</x:f>
        <x:v>10411000</x:v>
      </x:c>
      <x:c r="J35" s="10" t="n">
        <x:f>IFERROR(H35/Dashboard!$A$8,0)</x:f>
        <x:v>0.01996617353578488</x:v>
      </x:c>
    </x:row>
    <x:row r="36">
      <x:c r="A36" t="str">
        <x:v>C035</x:v>
      </x:c>
      <x:c r="B36" t="str">
        <x:v>架空法人顧客 035</x:v>
      </x:c>
      <x:c r="C36" t="str">
        <x:v>TRN</x:v>
      </x:c>
      <x:c r="D36" t="str">
        <x:v>中堅企業</x:v>
      </x:c>
      <x:c r="E36" t="str">
        <x:v>スポット中心</x:v>
      </x:c>
      <x:c r="F36" t="str">
        <x:v>九州・四国</x:v>
      </x:c>
      <x:c r="G36" t="str"/>
      <x:c r="H36" s="14" t="n">
        <x:f>IF(AND(Dashboard!$B$4&lt;&gt;"全部門",C36&lt;&gt;Dashboard!$B$4),0,IF(Dashboard!$L$4="通期",SUMIF(Transactions!$C$2:$C$2000,A36,Transactions!$H$2:$H$2000),SUMIFS(Transactions!$H$2:$H$2000,Transactions!$C$2:$C$2000,A36,Transactions!$E$2:$E$2000,Dashboard!$L$4)))</x:f>
        <x:v>8826000</x:v>
      </x:c>
      <x:c r="I36" s="14" t="n">
        <x:f>IF(AND(Dashboard!$B$4&lt;&gt;"全部門",C36&lt;&gt;Dashboard!$B$4),0,IF(Dashboard!$L$4="通期",SUMIF(Transactions!$C$2:$C$2000,A36,Transactions!$M$2:$M$2000),SUMIFS(Transactions!$M$2:$M$2000,Transactions!$C$2:$C$2000,A36,Transactions!$E$2:$E$2000,Dashboard!$L$4)))</x:f>
        <x:v>7412000</x:v>
      </x:c>
      <x:c r="J36" s="10" t="n">
        <x:f>IFERROR(H36/Dashboard!$A$8,0)</x:f>
        <x:v>0.013990270532457712</x:v>
      </x:c>
    </x:row>
    <x:row r="37">
      <x:c r="A37" t="str">
        <x:v>C036</x:v>
      </x:c>
      <x:c r="B37" t="str">
        <x:v>架空法人顧客 036</x:v>
      </x:c>
      <x:c r="C37" t="str">
        <x:v>TRN</x:v>
      </x:c>
      <x:c r="D37" t="str">
        <x:v>中小企業</x:v>
      </x:c>
      <x:c r="E37" t="str">
        <x:v>継続契約</x:v>
      </x:c>
      <x:c r="F37" t="str">
        <x:v>関東</x:v>
      </x:c>
      <x:c r="G37" t="str"/>
      <x:c r="H37" s="14" t="n">
        <x:f>IF(AND(Dashboard!$B$4&lt;&gt;"全部門",C37&lt;&gt;Dashboard!$B$4),0,IF(Dashboard!$L$4="通期",SUMIF(Transactions!$C$2:$C$2000,A37,Transactions!$H$2:$H$2000),SUMIFS(Transactions!$H$2:$H$2000,Transactions!$C$2:$C$2000,A37,Transactions!$E$2:$E$2000,Dashboard!$L$4)))</x:f>
        <x:v>9729000</x:v>
      </x:c>
      <x:c r="I37" s="14" t="n">
        <x:f>IF(AND(Dashboard!$B$4&lt;&gt;"全部門",C37&lt;&gt;Dashboard!$B$4),0,IF(Dashboard!$L$4="通期",SUMIF(Transactions!$C$2:$C$2000,A37,Transactions!$M$2:$M$2000),SUMIFS(Transactions!$M$2:$M$2000,Transactions!$C$2:$C$2000,A37,Transactions!$E$2:$E$2000,Dashboard!$L$4)))</x:f>
        <x:v>8024000</x:v>
      </x:c>
      <x:c r="J37" s="10" t="n">
        <x:f>IFERROR(H37/Dashboard!$A$8,0)</x:f>
        <x:v>0.015421634036968172</x:v>
      </x:c>
    </x:row>
    <x:row r="38">
      <x:c r="A38" t="str">
        <x:v>C037</x:v>
      </x:c>
      <x:c r="B38" t="str">
        <x:v>架空法人顧客 037</x:v>
      </x:c>
      <x:c r="C38" t="str">
        <x:v>TRN</x:v>
      </x:c>
      <x:c r="D38" t="str">
        <x:v>中堅企業</x:v>
      </x:c>
      <x:c r="E38" t="str">
        <x:v>継続契約</x:v>
      </x:c>
      <x:c r="F38" t="str">
        <x:v>関西</x:v>
      </x:c>
      <x:c r="G38" t="str"/>
      <x:c r="H38" s="14" t="n">
        <x:f>IF(AND(Dashboard!$B$4&lt;&gt;"全部門",C38&lt;&gt;Dashboard!$B$4),0,IF(Dashboard!$L$4="通期",SUMIF(Transactions!$C$2:$C$2000,A38,Transactions!$H$2:$H$2000),SUMIFS(Transactions!$H$2:$H$2000,Transactions!$C$2:$C$2000,A38,Transactions!$E$2:$E$2000,Dashboard!$L$4)))</x:f>
        <x:v>10903000</x:v>
      </x:c>
      <x:c r="I38" s="14" t="n">
        <x:f>IF(AND(Dashboard!$B$4&lt;&gt;"全部門",C38&lt;&gt;Dashboard!$B$4),0,IF(Dashboard!$L$4="通期",SUMIF(Transactions!$C$2:$C$2000,A38,Transactions!$M$2:$M$2000),SUMIFS(Transactions!$M$2:$M$2000,Transactions!$C$2:$C$2000,A38,Transactions!$E$2:$E$2000,Dashboard!$L$4)))</x:f>
        <x:v>8915000</x:v>
      </x:c>
      <x:c r="J38" s="10" t="n">
        <x:f>IFERROR(H38/Dashboard!$A$8,0)</x:f>
        <x:v>0.017282565104847773</x:v>
      </x:c>
    </x:row>
    <x:row r="39">
      <x:c r="A39" t="str">
        <x:v>C038</x:v>
      </x:c>
      <x:c r="B39" t="str">
        <x:v>架空法人顧客 038</x:v>
      </x:c>
      <x:c r="C39" t="str">
        <x:v>TRN</x:v>
      </x:c>
      <x:c r="D39" t="str">
        <x:v>中堅企業</x:v>
      </x:c>
      <x:c r="E39" t="str">
        <x:v>継続契約</x:v>
      </x:c>
      <x:c r="F39" t="str">
        <x:v>中部</x:v>
      </x:c>
      <x:c r="G39" t="str"/>
      <x:c r="H39" s="14" t="n">
        <x:f>IF(AND(Dashboard!$B$4&lt;&gt;"全部門",C39&lt;&gt;Dashboard!$B$4),0,IF(Dashboard!$L$4="通期",SUMIF(Transactions!$C$2:$C$2000,A39,Transactions!$H$2:$H$2000),SUMIFS(Transactions!$H$2:$H$2000,Transactions!$C$2:$C$2000,A39,Transactions!$E$2:$E$2000,Dashboard!$L$4)))</x:f>
        <x:v>10196000</x:v>
      </x:c>
      <x:c r="I39" s="14" t="n">
        <x:f>IF(AND(Dashboard!$B$4&lt;&gt;"全部門",C39&lt;&gt;Dashboard!$B$4),0,IF(Dashboard!$L$4="通期",SUMIF(Transactions!$C$2:$C$2000,A39,Transactions!$M$2:$M$2000),SUMIFS(Transactions!$M$2:$M$2000,Transactions!$C$2:$C$2000,A39,Transactions!$E$2:$E$2000,Dashboard!$L$4)))</x:f>
        <x:v>8430000</x:v>
      </x:c>
      <x:c r="J39" s="10" t="n">
        <x:f>IFERROR(H39/Dashboard!$A$8,0)</x:f>
        <x:v>0.016161885151703925</x:v>
      </x:c>
    </x:row>
    <x:row r="40">
      <x:c r="A40" t="str">
        <x:v>C039</x:v>
      </x:c>
      <x:c r="B40" t="str">
        <x:v>架空法人顧客 039</x:v>
      </x:c>
      <x:c r="C40" t="str">
        <x:v>TRN</x:v>
      </x:c>
      <x:c r="D40" t="str">
        <x:v>中小企業</x:v>
      </x:c>
      <x:c r="E40" t="str">
        <x:v>継続契約</x:v>
      </x:c>
      <x:c r="F40" t="str">
        <x:v>九州・四国</x:v>
      </x:c>
      <x:c r="G40" t="str"/>
      <x:c r="H40" s="14" t="n">
        <x:f>IF(AND(Dashboard!$B$4&lt;&gt;"全部門",C40&lt;&gt;Dashboard!$B$4),0,IF(Dashboard!$L$4="通期",SUMIF(Transactions!$C$2:$C$2000,A40,Transactions!$H$2:$H$2000),SUMIFS(Transactions!$H$2:$H$2000,Transactions!$C$2:$C$2000,A40,Transactions!$E$2:$E$2000,Dashboard!$L$4)))</x:f>
        <x:v>8843000</x:v>
      </x:c>
      <x:c r="I40" s="14" t="n">
        <x:f>IF(AND(Dashboard!$B$4&lt;&gt;"全部門",C40&lt;&gt;Dashboard!$B$4),0,IF(Dashboard!$L$4="通期",SUMIF(Transactions!$C$2:$C$2000,A40,Transactions!$M$2:$M$2000),SUMIFS(Transactions!$M$2:$M$2000,Transactions!$C$2:$C$2000,A40,Transactions!$E$2:$E$2000,Dashboard!$L$4)))</x:f>
        <x:v>7284000</x:v>
      </x:c>
      <x:c r="J40" s="10" t="n">
        <x:f>IFERROR(H40/Dashboard!$A$8,0)</x:f>
        <x:v>0.014017217575178287</x:v>
      </x:c>
    </x:row>
    <x:row r="41">
      <x:c r="A41" t="str">
        <x:v>C040</x:v>
      </x:c>
      <x:c r="B41" t="str">
        <x:v>架空法人顧客 040</x:v>
      </x:c>
      <x:c r="C41" t="str">
        <x:v>TRN</x:v>
      </x:c>
      <x:c r="D41" t="str">
        <x:v>中堅企業</x:v>
      </x:c>
      <x:c r="E41" t="str">
        <x:v>スポット中心</x:v>
      </x:c>
      <x:c r="F41" t="str">
        <x:v>関東</x:v>
      </x:c>
      <x:c r="G41" t="str"/>
      <x:c r="H41" s="14" t="n">
        <x:f>IF(AND(Dashboard!$B$4&lt;&gt;"全部門",C41&lt;&gt;Dashboard!$B$4),0,IF(Dashboard!$L$4="通期",SUMIF(Transactions!$C$2:$C$2000,A41,Transactions!$H$2:$H$2000),SUMIFS(Transactions!$H$2:$H$2000,Transactions!$C$2:$C$2000,A41,Transactions!$E$2:$E$2000,Dashboard!$L$4)))</x:f>
        <x:v>5771000</x:v>
      </x:c>
      <x:c r="I41" s="14" t="n">
        <x:f>IF(AND(Dashboard!$B$4&lt;&gt;"全部門",C41&lt;&gt;Dashboard!$B$4),0,IF(Dashboard!$L$4="通期",SUMIF(Transactions!$C$2:$C$2000,A41,Transactions!$M$2:$M$2000),SUMIFS(Transactions!$M$2:$M$2000,Transactions!$C$2:$C$2000,A41,Transactions!$E$2:$E$2000,Dashboard!$L$4)))</x:f>
        <x:v>4901000</x:v>
      </x:c>
      <x:c r="J41" s="10" t="n">
        <x:f>IFERROR(H41/Dashboard!$A$8,0)</x:f>
        <x:v>0.009147728443554664</x:v>
      </x:c>
    </x:row>
    <x:row r="42">
      <x:c r="A42" t="str">
        <x:v>C041</x:v>
      </x:c>
      <x:c r="B42" t="str">
        <x:v>架空法人顧客 041</x:v>
      </x:c>
      <x:c r="C42" t="str">
        <x:v>TRN</x:v>
      </x:c>
      <x:c r="D42" t="str">
        <x:v>中堅企業</x:v>
      </x:c>
      <x:c r="E42" t="str">
        <x:v>継続契約</x:v>
      </x:c>
      <x:c r="F42" t="str">
        <x:v>関西</x:v>
      </x:c>
      <x:c r="G42" t="str"/>
      <x:c r="H42" s="14" t="n">
        <x:f>IF(AND(Dashboard!$B$4&lt;&gt;"全部門",C42&lt;&gt;Dashboard!$B$4),0,IF(Dashboard!$L$4="通期",SUMIF(Transactions!$C$2:$C$2000,A42,Transactions!$H$2:$H$2000),SUMIFS(Transactions!$H$2:$H$2000,Transactions!$C$2:$C$2000,A42,Transactions!$E$2:$E$2000,Dashboard!$L$4)))</x:f>
        <x:v>7796000</x:v>
      </x:c>
      <x:c r="I42" s="14" t="n">
        <x:f>IF(AND(Dashboard!$B$4&lt;&gt;"全部門",C42&lt;&gt;Dashboard!$B$4),0,IF(Dashboard!$L$4="通期",SUMIF(Transactions!$C$2:$C$2000,A42,Transactions!$M$2:$M$2000),SUMIFS(Transactions!$M$2:$M$2000,Transactions!$C$2:$C$2000,A42,Transactions!$E$2:$E$2000,Dashboard!$L$4)))</x:f>
        <x:v>6407000</x:v>
      </x:c>
      <x:c r="J42" s="10" t="n">
        <x:f>IFERROR(H42/Dashboard!$A$8,0)</x:f>
        <x:v>0.012357596767622969</x:v>
      </x:c>
    </x:row>
    <x:row r="43">
      <x:c r="A43" t="str">
        <x:v>C042</x:v>
      </x:c>
      <x:c r="B43" t="str">
        <x:v>架空法人顧客 042</x:v>
      </x:c>
      <x:c r="C43" t="str">
        <x:v>TRN</x:v>
      </x:c>
      <x:c r="D43" t="str">
        <x:v>中小企業</x:v>
      </x:c>
      <x:c r="E43" t="str">
        <x:v>継続契約</x:v>
      </x:c>
      <x:c r="F43" t="str">
        <x:v>中部</x:v>
      </x:c>
      <x:c r="G43" t="str"/>
      <x:c r="H43" s="14" t="n">
        <x:f>IF(AND(Dashboard!$B$4&lt;&gt;"全部門",C43&lt;&gt;Dashboard!$B$4),0,IF(Dashboard!$L$4="通期",SUMIF(Transactions!$C$2:$C$2000,A43,Transactions!$H$2:$H$2000),SUMIFS(Transactions!$H$2:$H$2000,Transactions!$C$2:$C$2000,A43,Transactions!$E$2:$E$2000,Dashboard!$L$4)))</x:f>
        <x:v>7143000</x:v>
      </x:c>
      <x:c r="I43" s="14" t="n">
        <x:f>IF(AND(Dashboard!$B$4&lt;&gt;"全部門",C43&lt;&gt;Dashboard!$B$4),0,IF(Dashboard!$L$4="通期",SUMIF(Transactions!$C$2:$C$2000,A43,Transactions!$M$2:$M$2000),SUMIFS(Transactions!$M$2:$M$2000,Transactions!$C$2:$C$2000,A43,Transactions!$E$2:$E$2000,Dashboard!$L$4)))</x:f>
        <x:v>5984000</x:v>
      </x:c>
      <x:c r="J43" s="10" t="n">
        <x:f>IFERROR(H43/Dashboard!$A$8,0)</x:f>
        <x:v>0.011322513303120943</x:v>
      </x:c>
    </x:row>
    <x:row r="44">
      <x:c r="A44" t="str">
        <x:v>C043</x:v>
      </x:c>
      <x:c r="B44" t="str">
        <x:v>架空法人顧客 043</x:v>
      </x:c>
      <x:c r="C44" t="str">
        <x:v>TRN</x:v>
      </x:c>
      <x:c r="D44" t="str">
        <x:v>中堅企業</x:v>
      </x:c>
      <x:c r="E44" t="str">
        <x:v>継続契約</x:v>
      </x:c>
      <x:c r="F44" t="str">
        <x:v>九州・四国</x:v>
      </x:c>
      <x:c r="G44" t="str"/>
      <x:c r="H44" s="14" t="n">
        <x:f>IF(AND(Dashboard!$B$4&lt;&gt;"全部門",C44&lt;&gt;Dashboard!$B$4),0,IF(Dashboard!$L$4="通期",SUMIF(Transactions!$C$2:$C$2000,A44,Transactions!$H$2:$H$2000),SUMIFS(Transactions!$H$2:$H$2000,Transactions!$C$2:$C$2000,A44,Transactions!$E$2:$E$2000,Dashboard!$L$4)))</x:f>
        <x:v>8998000</x:v>
      </x:c>
      <x:c r="I44" s="14" t="n">
        <x:f>IF(AND(Dashboard!$B$4&lt;&gt;"全部門",C44&lt;&gt;Dashboard!$B$4),0,IF(Dashboard!$L$4="通期",SUMIF(Transactions!$C$2:$C$2000,A44,Transactions!$M$2:$M$2000),SUMIFS(Transactions!$M$2:$M$2000,Transactions!$C$2:$C$2000,A44,Transactions!$E$2:$E$2000,Dashboard!$L$4)))</x:f>
        <x:v>7358000</x:v>
      </x:c>
      <x:c r="J44" s="10" t="n">
        <x:f>IFERROR(H44/Dashboard!$A$8,0)</x:f>
        <x:v>0.014262911199983516</x:v>
      </x:c>
    </x:row>
    <x:row r="45">
      <x:c r="A45" t="str">
        <x:v>C044</x:v>
      </x:c>
      <x:c r="B45" t="str">
        <x:v>架空法人顧客 044</x:v>
      </x:c>
      <x:c r="C45" t="str">
        <x:v>TRN</x:v>
      </x:c>
      <x:c r="D45" t="str">
        <x:v>中堅企業</x:v>
      </x:c>
      <x:c r="E45" t="str">
        <x:v>継続契約</x:v>
      </x:c>
      <x:c r="F45" t="str">
        <x:v>関東</x:v>
      </x:c>
      <x:c r="G45" t="str"/>
      <x:c r="H45" s="14" t="n">
        <x:f>IF(AND(Dashboard!$B$4&lt;&gt;"全部門",C45&lt;&gt;Dashboard!$B$4),0,IF(Dashboard!$L$4="通期",SUMIF(Transactions!$C$2:$C$2000,A45,Transactions!$H$2:$H$2000),SUMIFS(Transactions!$H$2:$H$2000,Transactions!$C$2:$C$2000,A45,Transactions!$E$2:$E$2000,Dashboard!$L$4)))</x:f>
        <x:v>9533000</x:v>
      </x:c>
      <x:c r="I45" s="14" t="n">
        <x:f>IF(AND(Dashboard!$B$4&lt;&gt;"全部門",C45&lt;&gt;Dashboard!$B$4),0,IF(Dashboard!$L$4="通期",SUMIF(Transactions!$C$2:$C$2000,A45,Transactions!$M$2:$M$2000),SUMIFS(Transactions!$M$2:$M$2000,Transactions!$C$2:$C$2000,A45,Transactions!$E$2:$E$2000,Dashboard!$L$4)))</x:f>
        <x:v>7623000</x:v>
      </x:c>
      <x:c r="J45" s="10" t="n">
        <x:f>IFERROR(H45/Dashboard!$A$8,0)</x:f>
        <x:v>0.01511095048560156</x:v>
      </x:c>
    </x:row>
    <x:row r="46">
      <x:c r="A46" t="str">
        <x:v>C045</x:v>
      </x:c>
      <x:c r="B46" t="str">
        <x:v>架空法人顧客 045</x:v>
      </x:c>
      <x:c r="C46" t="str">
        <x:v>TRN</x:v>
      </x:c>
      <x:c r="D46" t="str">
        <x:v>中小企業</x:v>
      </x:c>
      <x:c r="E46" t="str">
        <x:v>スポット中心</x:v>
      </x:c>
      <x:c r="F46" t="str">
        <x:v>関西</x:v>
      </x:c>
      <x:c r="G46" t="str"/>
      <x:c r="H46" s="14" t="n">
        <x:f>IF(AND(Dashboard!$B$4&lt;&gt;"全部門",C46&lt;&gt;Dashboard!$B$4),0,IF(Dashboard!$L$4="通期",SUMIF(Transactions!$C$2:$C$2000,A46,Transactions!$H$2:$H$2000),SUMIFS(Transactions!$H$2:$H$2000,Transactions!$C$2:$C$2000,A46,Transactions!$E$2:$E$2000,Dashboard!$L$4)))</x:f>
        <x:v>5248000</x:v>
      </x:c>
      <x:c r="I46" s="14" t="n">
        <x:f>IF(AND(Dashboard!$B$4&lt;&gt;"全部門",C46&lt;&gt;Dashboard!$B$4),0,IF(Dashboard!$L$4="通期",SUMIF(Transactions!$C$2:$C$2000,A46,Transactions!$M$2:$M$2000),SUMIFS(Transactions!$M$2:$M$2000,Transactions!$C$2:$C$2000,A46,Transactions!$E$2:$E$2000,Dashboard!$L$4)))</x:f>
        <x:v>4498000</x:v>
      </x:c>
      <x:c r="J46" s="10" t="n">
        <x:f>IFERROR(H46/Dashboard!$A$8,0)</x:f>
        <x:v>0.008318710599857022</x:v>
      </x:c>
    </x:row>
  </x:sheetData>
  <x:pageMargins left="0.7" right="0.7" top="0.75" bottom="0.75" header="0.3" footer="0.3"/>
  <x:tableParts count="1">
    <x:tablePart xmlns:r="http://schemas.openxmlformats.org/officeDocument/2006/relationships" r:id="R9e8e45eab9de4d3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1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部門ID</x:v>
      </x:c>
      <x:c r="B1" s="5" t="str">
        <x:v>部門名</x:v>
      </x:c>
      <x:c r="C1" s="5" t="str">
        <x:v>人員数（名）</x:v>
      </x:c>
      <x:c r="D1" s="5" t="str">
        <x:v>本社共通費配賦率</x:v>
      </x:c>
      <x:c r="E1" s="5" t="str">
        <x:v>区分</x:v>
      </x:c>
    </x:row>
    <x:row r="2">
      <x:c r="A2" t="str">
        <x:v>IT</x:v>
      </x:c>
      <x:c r="B2" t="str">
        <x:v>IT導入支援</x:v>
      </x:c>
      <x:c r="C2" s="12" t="n">
        <x:v>20</x:v>
      </x:c>
      <x:c r="D2" s="10" t="n">
        <x:f>C2/SUM($C$2:$C$4)</x:f>
        <x:v>0.4444444444444444</x:v>
      </x:c>
      <x:c r="E2" t="str">
        <x:v>事業</x:v>
      </x:c>
    </x:row>
    <x:row r="3">
      <x:c r="A3" t="str">
        <x:v>BPO</x:v>
      </x:c>
      <x:c r="B3" t="str">
        <x:v>業務アウトソーシング</x:v>
      </x:c>
      <x:c r="C3" s="12" t="n">
        <x:v>15</x:v>
      </x:c>
      <x:c r="D3" s="10" t="n">
        <x:f>C3/SUM($C$2:$C$4)</x:f>
        <x:v>0.3333333333333333</x:v>
      </x:c>
      <x:c r="E3" t="str">
        <x:v>事業</x:v>
      </x:c>
    </x:row>
    <x:row r="4">
      <x:c r="A4" t="str">
        <x:v>TRN</x:v>
      </x:c>
      <x:c r="B4" t="str">
        <x:v>企業研修・人材育成</x:v>
      </x:c>
      <x:c r="C4" s="12" t="n">
        <x:v>10</x:v>
      </x:c>
      <x:c r="D4" s="10" t="n">
        <x:f>C4/SUM($C$2:$C$4)</x:f>
        <x:v>0.2222222222222222</x:v>
      </x:c>
      <x:c r="E4" t="str">
        <x:v>事業</x:v>
      </x:c>
    </x:row>
    <x:row r="5">
      <x:c r="A5" t="str">
        <x:v>HQ</x:v>
      </x:c>
      <x:c r="B5" t="str">
        <x:v>本社管理</x:v>
      </x:c>
      <x:c r="C5" s="12" t="n">
        <x:v>5</x:v>
      </x:c>
      <x:c r="D5" s="10" t="n">
        <x:v>0</x:v>
      </x:c>
      <x:c r="E5" t="str">
        <x:v>共通</x:v>
      </x:c>
    </x:row>
    <x:row r="7">
      <x:c r="A7" t="str">
        <x:v>共通費配賦方式</x:v>
      </x:c>
      <x:c r="B7" t="str">
        <x:v>事業部45名の人員比率。HQ5名は配賦対象に含まない。</x:v>
      </x:c>
      <x:c r="C7"/>
      <x:c r="D7"/>
      <x:c r="E7"/>
    </x:row>
    <x:row r="8">
      <x:c r="A8" t="str">
        <x:v>二重計上防止</x:v>
      </x:c>
      <x:c r="B8" t="str">
        <x:v>社員の人件費はMonthlyCostsのみ。Transactions直接費には計上しない。</x:v>
      </x:c>
      <x:c r="C8"/>
      <x:c r="D8"/>
      <x:c r="E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26" customHeight="1">
      <x:c r="A1" s="5" t="str">
        <x:v>月</x:v>
      </x:c>
      <x:c r="B1" s="5" t="str">
        <x:v>四半期</x:v>
      </x:c>
      <x:c r="C1" s="5" t="str">
        <x:v>部門ID</x:v>
      </x:c>
      <x:c r="D1" s="5" t="str">
        <x:v>売上予算（円）</x:v>
      </x:c>
      <x:c r="E1" s="5" t="str">
        <x:v>予定変動費率</x:v>
      </x:c>
      <x:c r="F1" s="5" t="str">
        <x:v>予定変動費（円）</x:v>
      </x:c>
      <x:c r="G1" s="5" t="str">
        <x:v>部門固定費予算（円）</x:v>
      </x:c>
      <x:c r="H1" s="5" t="str">
        <x:v>共通費配賦予算（円）</x:v>
      </x:c>
      <x:c r="I1" s="5" t="str">
        <x:v>利益予算（円）</x:v>
      </x:c>
    </x:row>
    <x:row r="2">
      <x:c r="A2" t="n">
        <x:v>1</x:v>
      </x:c>
      <x:c r="B2" t="str">
        <x:v>Q1</x:v>
      </x:c>
      <x:c r="C2" t="str">
        <x:v>IT</x:v>
      </x:c>
      <x:c r="D2" s="16" t="n">
        <x:v>25650000</x:v>
      </x:c>
      <x:c r="E2" s="18" t="n">
        <x:v>0.35</x:v>
      </x:c>
      <x:c r="F2" s="14" t="n">
        <x:f>ROUND(D2*E2,0)</x:f>
        <x:v>8977500</x:v>
      </x:c>
      <x:c r="G2" s="16" t="n">
        <x:v>13150000</x:v>
      </x:c>
      <x:c r="H2" s="16" t="n">
        <x:v>2022000</x:v>
      </x:c>
      <x:c r="I2" s="14" t="n">
        <x:f>D2-F2-G2-H2</x:f>
        <x:v>1500500</x:v>
      </x:c>
    </x:row>
    <x:row r="3">
      <x:c r="A3" t="n">
        <x:v>1</x:v>
      </x:c>
      <x:c r="B3" t="str">
        <x:v>Q1</x:v>
      </x:c>
      <x:c r="C3" t="str">
        <x:v>BPO</x:v>
      </x:c>
      <x:c r="D3" s="16" t="n">
        <x:v>21000000</x:v>
      </x:c>
      <x:c r="E3" s="18" t="n">
        <x:v>0.26</x:v>
      </x:c>
      <x:c r="F3" s="14" t="n">
        <x:f>ROUND(D3*E3,0)</x:f>
        <x:v>5460000</x:v>
      </x:c>
      <x:c r="G3" s="16" t="n">
        <x:v>9850000</x:v>
      </x:c>
      <x:c r="H3" s="16" t="n">
        <x:v>1517000</x:v>
      </x:c>
      <x:c r="I3" s="14" t="n">
        <x:f>D3-F3-G3-H3</x:f>
        <x:v>4173000</x:v>
      </x:c>
    </x:row>
    <x:row r="4">
      <x:c r="A4" t="n">
        <x:v>1</x:v>
      </x:c>
      <x:c r="B4" t="str">
        <x:v>Q1</x:v>
      </x:c>
      <x:c r="C4" t="str">
        <x:v>TRN</x:v>
      </x:c>
      <x:c r="D4" s="16" t="n">
        <x:v>8730000</x:v>
      </x:c>
      <x:c r="E4" s="18" t="n">
        <x:v>0.17</x:v>
      </x:c>
      <x:c r="F4" s="14" t="n">
        <x:f>ROUND(D4*E4,0)</x:f>
        <x:v>1484100</x:v>
      </x:c>
      <x:c r="G4" s="16" t="n">
        <x:v>6150000</x:v>
      </x:c>
      <x:c r="H4" s="16" t="n">
        <x:v>1011000</x:v>
      </x:c>
      <x:c r="I4" s="14" t="n">
        <x:f>D4-F4-G4-H4</x:f>
        <x:v>84900</x:v>
      </x:c>
    </x:row>
    <x:row r="5">
      <x:c r="A5" t="n">
        <x:v>2</x:v>
      </x:c>
      <x:c r="B5" t="str">
        <x:v>Q1</x:v>
      </x:c>
      <x:c r="C5" t="str">
        <x:v>IT</x:v>
      </x:c>
      <x:c r="D5" s="16" t="n">
        <x:v>25650000</x:v>
      </x:c>
      <x:c r="E5" s="18" t="n">
        <x:v>0.35</x:v>
      </x:c>
      <x:c r="F5" s="14" t="n">
        <x:f>ROUND(D5*E5,0)</x:f>
        <x:v>8977500</x:v>
      </x:c>
      <x:c r="G5" s="16" t="n">
        <x:v>13150000</x:v>
      </x:c>
      <x:c r="H5" s="16" t="n">
        <x:v>2022000</x:v>
      </x:c>
      <x:c r="I5" s="14" t="n">
        <x:f>D5-F5-G5-H5</x:f>
        <x:v>1500500</x:v>
      </x:c>
    </x:row>
    <x:row r="6">
      <x:c r="A6" t="n">
        <x:v>2</x:v>
      </x:c>
      <x:c r="B6" t="str">
        <x:v>Q1</x:v>
      </x:c>
      <x:c r="C6" t="str">
        <x:v>BPO</x:v>
      </x:c>
      <x:c r="D6" s="16" t="n">
        <x:v>21000000</x:v>
      </x:c>
      <x:c r="E6" s="18" t="n">
        <x:v>0.26</x:v>
      </x:c>
      <x:c r="F6" s="14" t="n">
        <x:f>ROUND(D6*E6,0)</x:f>
        <x:v>5460000</x:v>
      </x:c>
      <x:c r="G6" s="16" t="n">
        <x:v>9850000</x:v>
      </x:c>
      <x:c r="H6" s="16" t="n">
        <x:v>1517000</x:v>
      </x:c>
      <x:c r="I6" s="14" t="n">
        <x:f>D6-F6-G6-H6</x:f>
        <x:v>4173000</x:v>
      </x:c>
    </x:row>
    <x:row r="7">
      <x:c r="A7" t="n">
        <x:v>2</x:v>
      </x:c>
      <x:c r="B7" t="str">
        <x:v>Q1</x:v>
      </x:c>
      <x:c r="C7" t="str">
        <x:v>TRN</x:v>
      </x:c>
      <x:c r="D7" s="16" t="n">
        <x:v>8730000</x:v>
      </x:c>
      <x:c r="E7" s="18" t="n">
        <x:v>0.17</x:v>
      </x:c>
      <x:c r="F7" s="14" t="n">
        <x:f>ROUND(D7*E7,0)</x:f>
        <x:v>1484100</x:v>
      </x:c>
      <x:c r="G7" s="16" t="n">
        <x:v>6150000</x:v>
      </x:c>
      <x:c r="H7" s="16" t="n">
        <x:v>1011000</x:v>
      </x:c>
      <x:c r="I7" s="14" t="n">
        <x:f>D7-F7-G7-H7</x:f>
        <x:v>84900</x:v>
      </x:c>
    </x:row>
    <x:row r="8">
      <x:c r="A8" t="n">
        <x:v>3</x:v>
      </x:c>
      <x:c r="B8" t="str">
        <x:v>Q1</x:v>
      </x:c>
      <x:c r="C8" t="str">
        <x:v>IT</x:v>
      </x:c>
      <x:c r="D8" s="16" t="n">
        <x:v>28080000</x:v>
      </x:c>
      <x:c r="E8" s="18" t="n">
        <x:v>0.35</x:v>
      </x:c>
      <x:c r="F8" s="14" t="n">
        <x:f>ROUND(D8*E8,0)</x:f>
        <x:v>9828000</x:v>
      </x:c>
      <x:c r="G8" s="16" t="n">
        <x:v>13150000</x:v>
      </x:c>
      <x:c r="H8" s="16" t="n">
        <x:v>2022000</x:v>
      </x:c>
      <x:c r="I8" s="14" t="n">
        <x:f>D8-F8-G8-H8</x:f>
        <x:v>3080000</x:v>
      </x:c>
    </x:row>
    <x:row r="9">
      <x:c r="A9" t="n">
        <x:v>3</x:v>
      </x:c>
      <x:c r="B9" t="str">
        <x:v>Q1</x:v>
      </x:c>
      <x:c r="C9" t="str">
        <x:v>BPO</x:v>
      </x:c>
      <x:c r="D9" s="16" t="n">
        <x:v>21000000</x:v>
      </x:c>
      <x:c r="E9" s="18" t="n">
        <x:v>0.26</x:v>
      </x:c>
      <x:c r="F9" s="14" t="n">
        <x:f>ROUND(D9*E9,0)</x:f>
        <x:v>5460000</x:v>
      </x:c>
      <x:c r="G9" s="16" t="n">
        <x:v>9850000</x:v>
      </x:c>
      <x:c r="H9" s="16" t="n">
        <x:v>1517000</x:v>
      </x:c>
      <x:c r="I9" s="14" t="n">
        <x:f>D9-F9-G9-H9</x:f>
        <x:v>4173000</x:v>
      </x:c>
    </x:row>
    <x:row r="10">
      <x:c r="A10" t="n">
        <x:v>3</x:v>
      </x:c>
      <x:c r="B10" t="str">
        <x:v>Q1</x:v>
      </x:c>
      <x:c r="C10" t="str">
        <x:v>TRN</x:v>
      </x:c>
      <x:c r="D10" s="16" t="n">
        <x:v>11446000</x:v>
      </x:c>
      <x:c r="E10" s="18" t="n">
        <x:v>0.17</x:v>
      </x:c>
      <x:c r="F10" s="14" t="n">
        <x:f>ROUND(D10*E10,0)</x:f>
        <x:v>1945820</x:v>
      </x:c>
      <x:c r="G10" s="16" t="n">
        <x:v>6150000</x:v>
      </x:c>
      <x:c r="H10" s="16" t="n">
        <x:v>1011000</x:v>
      </x:c>
      <x:c r="I10" s="14" t="n">
        <x:f>D10-F10-G10-H10</x:f>
        <x:v>2339180</x:v>
      </x:c>
    </x:row>
    <x:row r="11">
      <x:c r="A11" t="n">
        <x:v>4</x:v>
      </x:c>
      <x:c r="B11" t="str">
        <x:v>Q2</x:v>
      </x:c>
      <x:c r="C11" t="str">
        <x:v>IT</x:v>
      </x:c>
      <x:c r="D11" s="16" t="n">
        <x:v>27540000</x:v>
      </x:c>
      <x:c r="E11" s="18" t="n">
        <x:v>0.35</x:v>
      </x:c>
      <x:c r="F11" s="14" t="n">
        <x:f>ROUND(D11*E11,0)</x:f>
        <x:v>9639000</x:v>
      </x:c>
      <x:c r="G11" s="16" t="n">
        <x:v>13150000</x:v>
      </x:c>
      <x:c r="H11" s="16" t="n">
        <x:v>2022000</x:v>
      </x:c>
      <x:c r="I11" s="14" t="n">
        <x:f>D11-F11-G11-H11</x:f>
        <x:v>2729000</x:v>
      </x:c>
    </x:row>
    <x:row r="12">
      <x:c r="A12" t="n">
        <x:v>4</x:v>
      </x:c>
      <x:c r="B12" t="str">
        <x:v>Q2</x:v>
      </x:c>
      <x:c r="C12" t="str">
        <x:v>BPO</x:v>
      </x:c>
      <x:c r="D12" s="16" t="n">
        <x:v>21000000</x:v>
      </x:c>
      <x:c r="E12" s="18" t="n">
        <x:v>0.26</x:v>
      </x:c>
      <x:c r="F12" s="14" t="n">
        <x:f>ROUND(D12*E12,0)</x:f>
        <x:v>5460000</x:v>
      </x:c>
      <x:c r="G12" s="16" t="n">
        <x:v>9850000</x:v>
      </x:c>
      <x:c r="H12" s="16" t="n">
        <x:v>1517000</x:v>
      </x:c>
      <x:c r="I12" s="14" t="n">
        <x:f>D12-F12-G12-H12</x:f>
        <x:v>4173000</x:v>
      </x:c>
    </x:row>
    <x:row r="13">
      <x:c r="A13" t="n">
        <x:v>4</x:v>
      </x:c>
      <x:c r="B13" t="str">
        <x:v>Q2</x:v>
      </x:c>
      <x:c r="C13" t="str">
        <x:v>TRN</x:v>
      </x:c>
      <x:c r="D13" s="16" t="n">
        <x:v>10670000</x:v>
      </x:c>
      <x:c r="E13" s="18" t="n">
        <x:v>0.17</x:v>
      </x:c>
      <x:c r="F13" s="14" t="n">
        <x:f>ROUND(D13*E13,0)</x:f>
        <x:v>1813900</x:v>
      </x:c>
      <x:c r="G13" s="16" t="n">
        <x:v>6150000</x:v>
      </x:c>
      <x:c r="H13" s="16" t="n">
        <x:v>1011000</x:v>
      </x:c>
      <x:c r="I13" s="14" t="n">
        <x:f>D13-F13-G13-H13</x:f>
        <x:v>1695100</x:v>
      </x:c>
    </x:row>
    <x:row r="14">
      <x:c r="A14" t="n">
        <x:v>5</x:v>
      </x:c>
      <x:c r="B14" t="str">
        <x:v>Q2</x:v>
      </x:c>
      <x:c r="C14" t="str">
        <x:v>IT</x:v>
      </x:c>
      <x:c r="D14" s="16" t="n">
        <x:v>27810000</x:v>
      </x:c>
      <x:c r="E14" s="18" t="n">
        <x:v>0.35</x:v>
      </x:c>
      <x:c r="F14" s="14" t="n">
        <x:f>ROUND(D14*E14,0)</x:f>
        <x:v>9733500</x:v>
      </x:c>
      <x:c r="G14" s="16" t="n">
        <x:v>13150000</x:v>
      </x:c>
      <x:c r="H14" s="16" t="n">
        <x:v>2022000</x:v>
      </x:c>
      <x:c r="I14" s="14" t="n">
        <x:f>D14-F14-G14-H14</x:f>
        <x:v>2904500</x:v>
      </x:c>
    </x:row>
    <x:row r="15">
      <x:c r="A15" t="n">
        <x:v>5</x:v>
      </x:c>
      <x:c r="B15" t="str">
        <x:v>Q2</x:v>
      </x:c>
      <x:c r="C15" t="str">
        <x:v>BPO</x:v>
      </x:c>
      <x:c r="D15" s="16" t="n">
        <x:v>21000000</x:v>
      </x:c>
      <x:c r="E15" s="18" t="n">
        <x:v>0.26</x:v>
      </x:c>
      <x:c r="F15" s="14" t="n">
        <x:f>ROUND(D15*E15,0)</x:f>
        <x:v>5460000</x:v>
      </x:c>
      <x:c r="G15" s="16" t="n">
        <x:v>9850000</x:v>
      </x:c>
      <x:c r="H15" s="16" t="n">
        <x:v>1517000</x:v>
      </x:c>
      <x:c r="I15" s="14" t="n">
        <x:f>D15-F15-G15-H15</x:f>
        <x:v>4173000</x:v>
      </x:c>
    </x:row>
    <x:row r="16">
      <x:c r="A16" t="n">
        <x:v>5</x:v>
      </x:c>
      <x:c r="B16" t="str">
        <x:v>Q2</x:v>
      </x:c>
      <x:c r="C16" t="str">
        <x:v>TRN</x:v>
      </x:c>
      <x:c r="D16" s="16" t="n">
        <x:v>10767000</x:v>
      </x:c>
      <x:c r="E16" s="18" t="n">
        <x:v>0.17</x:v>
      </x:c>
      <x:c r="F16" s="14" t="n">
        <x:f>ROUND(D16*E16,0)</x:f>
        <x:v>1830390</x:v>
      </x:c>
      <x:c r="G16" s="16" t="n">
        <x:v>6150000</x:v>
      </x:c>
      <x:c r="H16" s="16" t="n">
        <x:v>1011000</x:v>
      </x:c>
      <x:c r="I16" s="14" t="n">
        <x:f>D16-F16-G16-H16</x:f>
        <x:v>1775610</x:v>
      </x:c>
    </x:row>
    <x:row r="17">
      <x:c r="A17" t="n">
        <x:v>6</x:v>
      </x:c>
      <x:c r="B17" t="str">
        <x:v>Q2</x:v>
      </x:c>
      <x:c r="C17" t="str">
        <x:v>IT</x:v>
      </x:c>
      <x:c r="D17" s="16" t="n">
        <x:v>27000000</x:v>
      </x:c>
      <x:c r="E17" s="18" t="n">
        <x:v>0.35</x:v>
      </x:c>
      <x:c r="F17" s="14" t="n">
        <x:f>ROUND(D17*E17,0)</x:f>
        <x:v>9450000</x:v>
      </x:c>
      <x:c r="G17" s="16" t="n">
        <x:v>13150000</x:v>
      </x:c>
      <x:c r="H17" s="16" t="n">
        <x:v>2022000</x:v>
      </x:c>
      <x:c r="I17" s="14" t="n">
        <x:f>D17-F17-G17-H17</x:f>
        <x:v>2378000</x:v>
      </x:c>
    </x:row>
    <x:row r="18">
      <x:c r="A18" t="n">
        <x:v>6</x:v>
      </x:c>
      <x:c r="B18" t="str">
        <x:v>Q2</x:v>
      </x:c>
      <x:c r="C18" t="str">
        <x:v>BPO</x:v>
      </x:c>
      <x:c r="D18" s="16" t="n">
        <x:v>21000000</x:v>
      </x:c>
      <x:c r="E18" s="18" t="n">
        <x:v>0.26</x:v>
      </x:c>
      <x:c r="F18" s="14" t="n">
        <x:f>ROUND(D18*E18,0)</x:f>
        <x:v>5460000</x:v>
      </x:c>
      <x:c r="G18" s="16" t="n">
        <x:v>9850000</x:v>
      </x:c>
      <x:c r="H18" s="16" t="n">
        <x:v>1517000</x:v>
      </x:c>
      <x:c r="I18" s="14" t="n">
        <x:f>D18-F18-G18-H18</x:f>
        <x:v>4173000</x:v>
      </x:c>
    </x:row>
    <x:row r="19">
      <x:c r="A19" t="n">
        <x:v>6</x:v>
      </x:c>
      <x:c r="B19" t="str">
        <x:v>Q2</x:v>
      </x:c>
      <x:c r="C19" t="str">
        <x:v>TRN</x:v>
      </x:c>
      <x:c r="D19" s="16" t="n">
        <x:v>9118000</x:v>
      </x:c>
      <x:c r="E19" s="18" t="n">
        <x:v>0.17</x:v>
      </x:c>
      <x:c r="F19" s="14" t="n">
        <x:f>ROUND(D19*E19,0)</x:f>
        <x:v>1550060</x:v>
      </x:c>
      <x:c r="G19" s="16" t="n">
        <x:v>6150000</x:v>
      </x:c>
      <x:c r="H19" s="16" t="n">
        <x:v>1011000</x:v>
      </x:c>
      <x:c r="I19" s="14" t="n">
        <x:f>D19-F19-G19-H19</x:f>
        <x:v>406940</x:v>
      </x:c>
    </x:row>
    <x:row r="20">
      <x:c r="A20" t="n">
        <x:v>7</x:v>
      </x:c>
      <x:c r="B20" t="str">
        <x:v>Q3</x:v>
      </x:c>
      <x:c r="C20" t="str">
        <x:v>IT</x:v>
      </x:c>
      <x:c r="D20" s="16" t="n">
        <x:v>27000000</x:v>
      </x:c>
      <x:c r="E20" s="18" t="n">
        <x:v>0.35</x:v>
      </x:c>
      <x:c r="F20" s="14" t="n">
        <x:f>ROUND(D20*E20,0)</x:f>
        <x:v>9450000</x:v>
      </x:c>
      <x:c r="G20" s="16" t="n">
        <x:v>13150000</x:v>
      </x:c>
      <x:c r="H20" s="16" t="n">
        <x:v>2022000</x:v>
      </x:c>
      <x:c r="I20" s="14" t="n">
        <x:f>D20-F20-G20-H20</x:f>
        <x:v>2378000</x:v>
      </x:c>
    </x:row>
    <x:row r="21">
      <x:c r="A21" t="n">
        <x:v>7</x:v>
      </x:c>
      <x:c r="B21" t="str">
        <x:v>Q3</x:v>
      </x:c>
      <x:c r="C21" t="str">
        <x:v>BPO</x:v>
      </x:c>
      <x:c r="D21" s="16" t="n">
        <x:v>21000000</x:v>
      </x:c>
      <x:c r="E21" s="18" t="n">
        <x:v>0.26</x:v>
      </x:c>
      <x:c r="F21" s="14" t="n">
        <x:f>ROUND(D21*E21,0)</x:f>
        <x:v>5460000</x:v>
      </x:c>
      <x:c r="G21" s="16" t="n">
        <x:v>9850000</x:v>
      </x:c>
      <x:c r="H21" s="16" t="n">
        <x:v>1517000</x:v>
      </x:c>
      <x:c r="I21" s="14" t="n">
        <x:f>D21-F21-G21-H21</x:f>
        <x:v>4173000</x:v>
      </x:c>
    </x:row>
    <x:row r="22">
      <x:c r="A22" t="n">
        <x:v>7</x:v>
      </x:c>
      <x:c r="B22" t="str">
        <x:v>Q3</x:v>
      </x:c>
      <x:c r="C22" t="str">
        <x:v>TRN</x:v>
      </x:c>
      <x:c r="D22" s="16" t="n">
        <x:v>9409000</x:v>
      </x:c>
      <x:c r="E22" s="18" t="n">
        <x:v>0.17</x:v>
      </x:c>
      <x:c r="F22" s="14" t="n">
        <x:f>ROUND(D22*E22,0)</x:f>
        <x:v>1599530</x:v>
      </x:c>
      <x:c r="G22" s="16" t="n">
        <x:v>6150000</x:v>
      </x:c>
      <x:c r="H22" s="16" t="n">
        <x:v>1011000</x:v>
      </x:c>
      <x:c r="I22" s="14" t="n">
        <x:f>D22-F22-G22-H22</x:f>
        <x:v>648470</x:v>
      </x:c>
    </x:row>
    <x:row r="23">
      <x:c r="A23" t="n">
        <x:v>8</x:v>
      </x:c>
      <x:c r="B23" t="str">
        <x:v>Q3</x:v>
      </x:c>
      <x:c r="C23" t="str">
        <x:v>IT</x:v>
      </x:c>
      <x:c r="D23" s="16" t="n">
        <x:v>27000000</x:v>
      </x:c>
      <x:c r="E23" s="18" t="n">
        <x:v>0.35</x:v>
      </x:c>
      <x:c r="F23" s="14" t="n">
        <x:f>ROUND(D23*E23,0)</x:f>
        <x:v>9450000</x:v>
      </x:c>
      <x:c r="G23" s="16" t="n">
        <x:v>13150000</x:v>
      </x:c>
      <x:c r="H23" s="16" t="n">
        <x:v>2022000</x:v>
      </x:c>
      <x:c r="I23" s="14" t="n">
        <x:f>D23-F23-G23-H23</x:f>
        <x:v>2378000</x:v>
      </x:c>
    </x:row>
    <x:row r="24">
      <x:c r="A24" t="n">
        <x:v>8</x:v>
      </x:c>
      <x:c r="B24" t="str">
        <x:v>Q3</x:v>
      </x:c>
      <x:c r="C24" t="str">
        <x:v>BPO</x:v>
      </x:c>
      <x:c r="D24" s="16" t="n">
        <x:v>21000000</x:v>
      </x:c>
      <x:c r="E24" s="18" t="n">
        <x:v>0.26</x:v>
      </x:c>
      <x:c r="F24" s="14" t="n">
        <x:f>ROUND(D24*E24,0)</x:f>
        <x:v>5460000</x:v>
      </x:c>
      <x:c r="G24" s="16" t="n">
        <x:v>9850000</x:v>
      </x:c>
      <x:c r="H24" s="16" t="n">
        <x:v>1517000</x:v>
      </x:c>
      <x:c r="I24" s="14" t="n">
        <x:f>D24-F24-G24-H24</x:f>
        <x:v>4173000</x:v>
      </x:c>
    </x:row>
    <x:row r="25">
      <x:c r="A25" t="n">
        <x:v>8</x:v>
      </x:c>
      <x:c r="B25" t="str">
        <x:v>Q3</x:v>
      </x:c>
      <x:c r="C25" t="str">
        <x:v>TRN</x:v>
      </x:c>
      <x:c r="D25" s="16" t="n">
        <x:v>9603000</x:v>
      </x:c>
      <x:c r="E25" s="18" t="n">
        <x:v>0.17</x:v>
      </x:c>
      <x:c r="F25" s="14" t="n">
        <x:f>ROUND(D25*E25,0)</x:f>
        <x:v>1632510</x:v>
      </x:c>
      <x:c r="G25" s="16" t="n">
        <x:v>6150000</x:v>
      </x:c>
      <x:c r="H25" s="16" t="n">
        <x:v>1011000</x:v>
      </x:c>
      <x:c r="I25" s="14" t="n">
        <x:f>D25-F25-G25-H25</x:f>
        <x:v>809490</x:v>
      </x:c>
    </x:row>
    <x:row r="26">
      <x:c r="A26" t="n">
        <x:v>9</x:v>
      </x:c>
      <x:c r="B26" t="str">
        <x:v>Q3</x:v>
      </x:c>
      <x:c r="C26" t="str">
        <x:v>IT</x:v>
      </x:c>
      <x:c r="D26" s="16" t="n">
        <x:v>28890000</x:v>
      </x:c>
      <x:c r="E26" s="18" t="n">
        <x:v>0.35</x:v>
      </x:c>
      <x:c r="F26" s="14" t="n">
        <x:f>ROUND(D26*E26,0)</x:f>
        <x:v>10111500</x:v>
      </x:c>
      <x:c r="G26" s="16" t="n">
        <x:v>13150000</x:v>
      </x:c>
      <x:c r="H26" s="16" t="n">
        <x:v>2022000</x:v>
      </x:c>
      <x:c r="I26" s="14" t="n">
        <x:f>D26-F26-G26-H26</x:f>
        <x:v>3606500</x:v>
      </x:c>
    </x:row>
    <x:row r="27">
      <x:c r="A27" t="n">
        <x:v>9</x:v>
      </x:c>
      <x:c r="B27" t="str">
        <x:v>Q3</x:v>
      </x:c>
      <x:c r="C27" t="str">
        <x:v>BPO</x:v>
      </x:c>
      <x:c r="D27" s="16" t="n">
        <x:v>21000000</x:v>
      </x:c>
      <x:c r="E27" s="18" t="n">
        <x:v>0.26</x:v>
      </x:c>
      <x:c r="F27" s="14" t="n">
        <x:f>ROUND(D27*E27,0)</x:f>
        <x:v>5460000</x:v>
      </x:c>
      <x:c r="G27" s="16" t="n">
        <x:v>9850000</x:v>
      </x:c>
      <x:c r="H27" s="16" t="n">
        <x:v>1517000</x:v>
      </x:c>
      <x:c r="I27" s="14" t="n">
        <x:f>D27-F27-G27-H27</x:f>
        <x:v>4173000</x:v>
      </x:c>
    </x:row>
    <x:row r="28">
      <x:c r="A28" t="n">
        <x:v>9</x:v>
      </x:c>
      <x:c r="B28" t="str">
        <x:v>Q3</x:v>
      </x:c>
      <x:c r="C28" t="str">
        <x:v>TRN</x:v>
      </x:c>
      <x:c r="D28" s="16" t="n">
        <x:v>10088000</x:v>
      </x:c>
      <x:c r="E28" s="18" t="n">
        <x:v>0.17</x:v>
      </x:c>
      <x:c r="F28" s="14" t="n">
        <x:f>ROUND(D28*E28,0)</x:f>
        <x:v>1714960</x:v>
      </x:c>
      <x:c r="G28" s="16" t="n">
        <x:v>6150000</x:v>
      </x:c>
      <x:c r="H28" s="16" t="n">
        <x:v>1011000</x:v>
      </x:c>
      <x:c r="I28" s="14" t="n">
        <x:f>D28-F28-G28-H28</x:f>
        <x:v>1212040</x:v>
      </x:c>
    </x:row>
    <x:row r="29">
      <x:c r="A29" t="n">
        <x:v>10</x:v>
      </x:c>
      <x:c r="B29" t="str">
        <x:v>Q4</x:v>
      </x:c>
      <x:c r="C29" t="str">
        <x:v>IT</x:v>
      </x:c>
      <x:c r="D29" s="16" t="n">
        <x:v>29430000</x:v>
      </x:c>
      <x:c r="E29" s="18" t="n">
        <x:v>0.35</x:v>
      </x:c>
      <x:c r="F29" s="14" t="n">
        <x:f>ROUND(D29*E29,0)</x:f>
        <x:v>10300500</x:v>
      </x:c>
      <x:c r="G29" s="16" t="n">
        <x:v>13150000</x:v>
      </x:c>
      <x:c r="H29" s="16" t="n">
        <x:v>2022000</x:v>
      </x:c>
      <x:c r="I29" s="14" t="n">
        <x:f>D29-F29-G29-H29</x:f>
        <x:v>3957500</x:v>
      </x:c>
    </x:row>
    <x:row r="30">
      <x:c r="A30" t="n">
        <x:v>10</x:v>
      </x:c>
      <x:c r="B30" t="str">
        <x:v>Q4</x:v>
      </x:c>
      <x:c r="C30" t="str">
        <x:v>BPO</x:v>
      </x:c>
      <x:c r="D30" s="16" t="n">
        <x:v>21000000</x:v>
      </x:c>
      <x:c r="E30" s="18" t="n">
        <x:v>0.26</x:v>
      </x:c>
      <x:c r="F30" s="14" t="n">
        <x:f>ROUND(D30*E30,0)</x:f>
        <x:v>5460000</x:v>
      </x:c>
      <x:c r="G30" s="16" t="n">
        <x:v>9850000</x:v>
      </x:c>
      <x:c r="H30" s="16" t="n">
        <x:v>1517000</x:v>
      </x:c>
      <x:c r="I30" s="14" t="n">
        <x:f>D30-F30-G30-H30</x:f>
        <x:v>4173000</x:v>
      </x:c>
    </x:row>
    <x:row r="31">
      <x:c r="A31" t="n">
        <x:v>10</x:v>
      </x:c>
      <x:c r="B31" t="str">
        <x:v>Q4</x:v>
      </x:c>
      <x:c r="C31" t="str">
        <x:v>TRN</x:v>
      </x:c>
      <x:c r="D31" s="16" t="n">
        <x:v>11252000</x:v>
      </x:c>
      <x:c r="E31" s="18" t="n">
        <x:v>0.17</x:v>
      </x:c>
      <x:c r="F31" s="14" t="n">
        <x:f>ROUND(D31*E31,0)</x:f>
        <x:v>1912840</x:v>
      </x:c>
      <x:c r="G31" s="16" t="n">
        <x:v>6150000</x:v>
      </x:c>
      <x:c r="H31" s="16" t="n">
        <x:v>1011000</x:v>
      </x:c>
      <x:c r="I31" s="14" t="n">
        <x:f>D31-F31-G31-H31</x:f>
        <x:v>2178160</x:v>
      </x:c>
    </x:row>
    <x:row r="32">
      <x:c r="A32" t="n">
        <x:v>11</x:v>
      </x:c>
      <x:c r="B32" t="str">
        <x:v>Q4</x:v>
      </x:c>
      <x:c r="C32" t="str">
        <x:v>IT</x:v>
      </x:c>
      <x:c r="D32" s="16" t="n">
        <x:v>29430000</x:v>
      </x:c>
      <x:c r="E32" s="18" t="n">
        <x:v>0.35</x:v>
      </x:c>
      <x:c r="F32" s="14" t="n">
        <x:f>ROUND(D32*E32,0)</x:f>
        <x:v>10300500</x:v>
      </x:c>
      <x:c r="G32" s="16" t="n">
        <x:v>13150000</x:v>
      </x:c>
      <x:c r="H32" s="16" t="n">
        <x:v>2022000</x:v>
      </x:c>
      <x:c r="I32" s="14" t="n">
        <x:f>D32-F32-G32-H32</x:f>
        <x:v>3957500</x:v>
      </x:c>
    </x:row>
    <x:row r="33">
      <x:c r="A33" t="n">
        <x:v>11</x:v>
      </x:c>
      <x:c r="B33" t="str">
        <x:v>Q4</x:v>
      </x:c>
      <x:c r="C33" t="str">
        <x:v>BPO</x:v>
      </x:c>
      <x:c r="D33" s="16" t="n">
        <x:v>21000000</x:v>
      </x:c>
      <x:c r="E33" s="18" t="n">
        <x:v>0.26</x:v>
      </x:c>
      <x:c r="F33" s="14" t="n">
        <x:f>ROUND(D33*E33,0)</x:f>
        <x:v>5460000</x:v>
      </x:c>
      <x:c r="G33" s="16" t="n">
        <x:v>9850000</x:v>
      </x:c>
      <x:c r="H33" s="16" t="n">
        <x:v>1517000</x:v>
      </x:c>
      <x:c r="I33" s="14" t="n">
        <x:f>D33-F33-G33-H33</x:f>
        <x:v>4173000</x:v>
      </x:c>
    </x:row>
    <x:row r="34">
      <x:c r="A34" t="n">
        <x:v>11</x:v>
      </x:c>
      <x:c r="B34" t="str">
        <x:v>Q4</x:v>
      </x:c>
      <x:c r="C34" t="str">
        <x:v>TRN</x:v>
      </x:c>
      <x:c r="D34" s="16" t="n">
        <x:v>11252000</x:v>
      </x:c>
      <x:c r="E34" s="18" t="n">
        <x:v>0.17</x:v>
      </x:c>
      <x:c r="F34" s="14" t="n">
        <x:f>ROUND(D34*E34,0)</x:f>
        <x:v>1912840</x:v>
      </x:c>
      <x:c r="G34" s="16" t="n">
        <x:v>6150000</x:v>
      </x:c>
      <x:c r="H34" s="16" t="n">
        <x:v>1011000</x:v>
      </x:c>
      <x:c r="I34" s="14" t="n">
        <x:f>D34-F34-G34-H34</x:f>
        <x:v>2178160</x:v>
      </x:c>
    </x:row>
    <x:row r="35">
      <x:c r="A35" t="n">
        <x:v>12</x:v>
      </x:c>
      <x:c r="B35" t="str">
        <x:v>Q4</x:v>
      </x:c>
      <x:c r="C35" t="str">
        <x:v>IT</x:v>
      </x:c>
      <x:c r="D35" s="16" t="n">
        <x:v>31050000</x:v>
      </x:c>
      <x:c r="E35" s="18" t="n">
        <x:v>0.35</x:v>
      </x:c>
      <x:c r="F35" s="14" t="n">
        <x:f>ROUND(D35*E35,0)</x:f>
        <x:v>10867500</x:v>
      </x:c>
      <x:c r="G35" s="16" t="n">
        <x:v>13150000</x:v>
      </x:c>
      <x:c r="H35" s="16" t="n">
        <x:v>2022000</x:v>
      </x:c>
      <x:c r="I35" s="14" t="n">
        <x:f>D35-F35-G35-H35</x:f>
        <x:v>5010500</x:v>
      </x:c>
    </x:row>
    <x:row r="36">
      <x:c r="A36" t="n">
        <x:v>12</x:v>
      </x:c>
      <x:c r="B36" t="str">
        <x:v>Q4</x:v>
      </x:c>
      <x:c r="C36" t="str">
        <x:v>BPO</x:v>
      </x:c>
      <x:c r="D36" s="16" t="n">
        <x:v>21000000</x:v>
      </x:c>
      <x:c r="E36" s="18" t="n">
        <x:v>0.26</x:v>
      </x:c>
      <x:c r="F36" s="14" t="n">
        <x:f>ROUND(D36*E36,0)</x:f>
        <x:v>5460000</x:v>
      </x:c>
      <x:c r="G36" s="16" t="n">
        <x:v>9850000</x:v>
      </x:c>
      <x:c r="H36" s="16" t="n">
        <x:v>1517000</x:v>
      </x:c>
      <x:c r="I36" s="14" t="n">
        <x:f>D36-F36-G36-H36</x:f>
        <x:v>4173000</x:v>
      </x:c>
    </x:row>
    <x:row r="37">
      <x:c r="A37" t="n">
        <x:v>12</x:v>
      </x:c>
      <x:c r="B37" t="str">
        <x:v>Q4</x:v>
      </x:c>
      <x:c r="C37" t="str">
        <x:v>TRN</x:v>
      </x:c>
      <x:c r="D37" s="16" t="n">
        <x:v>11058000</x:v>
      </x:c>
      <x:c r="E37" s="18" t="n">
        <x:v>0.17</x:v>
      </x:c>
      <x:c r="F37" s="14" t="n">
        <x:f>ROUND(D37*E37,0)</x:f>
        <x:v>1879860</x:v>
      </x:c>
      <x:c r="G37" s="16" t="n">
        <x:v>6150000</x:v>
      </x:c>
      <x:c r="H37" s="16" t="n">
        <x:v>1011000</x:v>
      </x:c>
      <x:c r="I37" s="14" t="n">
        <x:f>D37-F37-G37-H37</x:f>
        <x:v>2017140</x:v>
      </x:c>
    </x:row>
  </x:sheetData>
  <x:pageMargins left="0.7" right="0.7" top="0.75" bottom="0.75" header="0.3" footer="0.3"/>
  <x:tableParts count="1">
    <x:tablePart xmlns:r="http://schemas.openxmlformats.org/officeDocument/2006/relationships" r:id="R74fc54eab3464b19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6" customHeight="1">
      <x:c r="A1" s="5" t="str">
        <x:v>月</x:v>
      </x:c>
      <x:c r="B1" s="5" t="str">
        <x:v>四半期</x:v>
      </x:c>
      <x:c r="C1" s="5" t="str">
        <x:v>部門ID</x:v>
      </x:c>
      <x:c r="D1" s="5" t="str">
        <x:v>人件費（円）</x:v>
      </x:c>
      <x:c r="E1" s="5" t="str">
        <x:v>その他固定費（円）</x:v>
      </x:c>
      <x:c r="F1" s="5" t="str">
        <x:v>固定費合計（円）</x:v>
      </x:c>
    </x:row>
    <x:row r="2">
      <x:c r="A2" t="n">
        <x:v>1</x:v>
      </x:c>
      <x:c r="B2" t="str">
        <x:v>Q1</x:v>
      </x:c>
      <x:c r="C2" t="str">
        <x:v>IT</x:v>
      </x:c>
      <x:c r="D2" s="16" t="n">
        <x:v>11500000</x:v>
      </x:c>
      <x:c r="E2" s="16" t="n">
        <x:v>1720000</x:v>
      </x:c>
      <x:c r="F2" s="14" t="n">
        <x:f>SUM(D2:E2)</x:f>
        <x:v>13220000</x:v>
      </x:c>
    </x:row>
    <x:row r="3">
      <x:c r="A3" t="n">
        <x:v>1</x:v>
      </x:c>
      <x:c r="B3" t="str">
        <x:v>Q1</x:v>
      </x:c>
      <x:c r="C3" t="str">
        <x:v>BPO</x:v>
      </x:c>
      <x:c r="D3" s="16" t="n">
        <x:v>8450000</x:v>
      </x:c>
      <x:c r="E3" s="16" t="n">
        <x:v>1380000</x:v>
      </x:c>
      <x:c r="F3" s="14" t="n">
        <x:f>SUM(D3:E3)</x:f>
        <x:v>9830000</x:v>
      </x:c>
    </x:row>
    <x:row r="4">
      <x:c r="A4" t="n">
        <x:v>1</x:v>
      </x:c>
      <x:c r="B4" t="str">
        <x:v>Q1</x:v>
      </x:c>
      <x:c r="C4" t="str">
        <x:v>TRN</x:v>
      </x:c>
      <x:c r="D4" s="16" t="n">
        <x:v>5250000</x:v>
      </x:c>
      <x:c r="E4" s="16" t="n">
        <x:v>930000</x:v>
      </x:c>
      <x:c r="F4" s="14" t="n">
        <x:f>SUM(D4:E4)</x:f>
        <x:v>6180000</x:v>
      </x:c>
    </x:row>
    <x:row r="5">
      <x:c r="A5" t="n">
        <x:v>1</x:v>
      </x:c>
      <x:c r="B5" t="str">
        <x:v>Q1</x:v>
      </x:c>
      <x:c r="C5" t="str">
        <x:v>HQ</x:v>
      </x:c>
      <x:c r="D5" s="16" t="n">
        <x:v>3400000</x:v>
      </x:c>
      <x:c r="E5" s="16" t="n">
        <x:v>1150000</x:v>
      </x:c>
      <x:c r="F5" s="14" t="n">
        <x:f>SUM(D5:E5)</x:f>
        <x:v>4550000</x:v>
      </x:c>
    </x:row>
    <x:row r="6">
      <x:c r="A6" t="n">
        <x:v>2</x:v>
      </x:c>
      <x:c r="B6" t="str">
        <x:v>Q1</x:v>
      </x:c>
      <x:c r="C6" t="str">
        <x:v>IT</x:v>
      </x:c>
      <x:c r="D6" s="16" t="n">
        <x:v>11517000</x:v>
      </x:c>
      <x:c r="E6" s="16" t="n">
        <x:v>1720000</x:v>
      </x:c>
      <x:c r="F6" s="14" t="n">
        <x:f>SUM(D6:E6)</x:f>
        <x:v>13237000</x:v>
      </x:c>
    </x:row>
    <x:row r="7">
      <x:c r="A7" t="n">
        <x:v>2</x:v>
      </x:c>
      <x:c r="B7" t="str">
        <x:v>Q1</x:v>
      </x:c>
      <x:c r="C7" t="str">
        <x:v>BPO</x:v>
      </x:c>
      <x:c r="D7" s="16" t="n">
        <x:v>8463000</x:v>
      </x:c>
      <x:c r="E7" s="16" t="n">
        <x:v>1380000</x:v>
      </x:c>
      <x:c r="F7" s="14" t="n">
        <x:f>SUM(D7:E7)</x:f>
        <x:v>9843000</x:v>
      </x:c>
    </x:row>
    <x:row r="8">
      <x:c r="A8" t="n">
        <x:v>2</x:v>
      </x:c>
      <x:c r="B8" t="str">
        <x:v>Q1</x:v>
      </x:c>
      <x:c r="C8" t="str">
        <x:v>TRN</x:v>
      </x:c>
      <x:c r="D8" s="16" t="n">
        <x:v>5258000</x:v>
      </x:c>
      <x:c r="E8" s="16" t="n">
        <x:v>930000</x:v>
      </x:c>
      <x:c r="F8" s="14" t="n">
        <x:f>SUM(D8:E8)</x:f>
        <x:v>6188000</x:v>
      </x:c>
    </x:row>
    <x:row r="9">
      <x:c r="A9" t="n">
        <x:v>2</x:v>
      </x:c>
      <x:c r="B9" t="str">
        <x:v>Q1</x:v>
      </x:c>
      <x:c r="C9" t="str">
        <x:v>HQ</x:v>
      </x:c>
      <x:c r="D9" s="16" t="n">
        <x:v>3405000</x:v>
      </x:c>
      <x:c r="E9" s="16" t="n">
        <x:v>1150000</x:v>
      </x:c>
      <x:c r="F9" s="14" t="n">
        <x:f>SUM(D9:E9)</x:f>
        <x:v>4555000</x:v>
      </x:c>
    </x:row>
    <x:row r="10">
      <x:c r="A10" t="n">
        <x:v>3</x:v>
      </x:c>
      <x:c r="B10" t="str">
        <x:v>Q1</x:v>
      </x:c>
      <x:c r="C10" t="str">
        <x:v>IT</x:v>
      </x:c>
      <x:c r="D10" s="16" t="n">
        <x:v>11534000</x:v>
      </x:c>
      <x:c r="E10" s="16" t="n">
        <x:v>1720000</x:v>
      </x:c>
      <x:c r="F10" s="14" t="n">
        <x:f>SUM(D10:E10)</x:f>
        <x:v>13254000</x:v>
      </x:c>
    </x:row>
    <x:row r="11">
      <x:c r="A11" t="n">
        <x:v>3</x:v>
      </x:c>
      <x:c r="B11" t="str">
        <x:v>Q1</x:v>
      </x:c>
      <x:c r="C11" t="str">
        <x:v>BPO</x:v>
      </x:c>
      <x:c r="D11" s="16" t="n">
        <x:v>8475000</x:v>
      </x:c>
      <x:c r="E11" s="16" t="n">
        <x:v>1380000</x:v>
      </x:c>
      <x:c r="F11" s="14" t="n">
        <x:f>SUM(D11:E11)</x:f>
        <x:v>9855000</x:v>
      </x:c>
    </x:row>
    <x:row r="12">
      <x:c r="A12" t="n">
        <x:v>3</x:v>
      </x:c>
      <x:c r="B12" t="str">
        <x:v>Q1</x:v>
      </x:c>
      <x:c r="C12" t="str">
        <x:v>TRN</x:v>
      </x:c>
      <x:c r="D12" s="16" t="n">
        <x:v>5266000</x:v>
      </x:c>
      <x:c r="E12" s="16" t="n">
        <x:v>930000</x:v>
      </x:c>
      <x:c r="F12" s="14" t="n">
        <x:f>SUM(D12:E12)</x:f>
        <x:v>6196000</x:v>
      </x:c>
    </x:row>
    <x:row r="13">
      <x:c r="A13" t="n">
        <x:v>3</x:v>
      </x:c>
      <x:c r="B13" t="str">
        <x:v>Q1</x:v>
      </x:c>
      <x:c r="C13" t="str">
        <x:v>HQ</x:v>
      </x:c>
      <x:c r="D13" s="16" t="n">
        <x:v>3410000</x:v>
      </x:c>
      <x:c r="E13" s="16" t="n">
        <x:v>1150000</x:v>
      </x:c>
      <x:c r="F13" s="14" t="n">
        <x:f>SUM(D13:E13)</x:f>
        <x:v>4560000</x:v>
      </x:c>
    </x:row>
    <x:row r="14">
      <x:c r="A14" t="n">
        <x:v>4</x:v>
      </x:c>
      <x:c r="B14" t="str">
        <x:v>Q2</x:v>
      </x:c>
      <x:c r="C14" t="str">
        <x:v>IT</x:v>
      </x:c>
      <x:c r="D14" s="16" t="n">
        <x:v>11552000</x:v>
      </x:c>
      <x:c r="E14" s="16" t="n">
        <x:v>1720000</x:v>
      </x:c>
      <x:c r="F14" s="14" t="n">
        <x:f>SUM(D14:E14)</x:f>
        <x:v>13272000</x:v>
      </x:c>
    </x:row>
    <x:row r="15">
      <x:c r="A15" t="n">
        <x:v>4</x:v>
      </x:c>
      <x:c r="B15" t="str">
        <x:v>Q2</x:v>
      </x:c>
      <x:c r="C15" t="str">
        <x:v>BPO</x:v>
      </x:c>
      <x:c r="D15" s="16" t="n">
        <x:v>8488000</x:v>
      </x:c>
      <x:c r="E15" s="16" t="n">
        <x:v>1380000</x:v>
      </x:c>
      <x:c r="F15" s="14" t="n">
        <x:f>SUM(D15:E15)</x:f>
        <x:v>9868000</x:v>
      </x:c>
    </x:row>
    <x:row r="16">
      <x:c r="A16" t="n">
        <x:v>4</x:v>
      </x:c>
      <x:c r="B16" t="str">
        <x:v>Q2</x:v>
      </x:c>
      <x:c r="C16" t="str">
        <x:v>TRN</x:v>
      </x:c>
      <x:c r="D16" s="16" t="n">
        <x:v>5274000</x:v>
      </x:c>
      <x:c r="E16" s="16" t="n">
        <x:v>930000</x:v>
      </x:c>
      <x:c r="F16" s="14" t="n">
        <x:f>SUM(D16:E16)</x:f>
        <x:v>6204000</x:v>
      </x:c>
    </x:row>
    <x:row r="17">
      <x:c r="A17" t="n">
        <x:v>4</x:v>
      </x:c>
      <x:c r="B17" t="str">
        <x:v>Q2</x:v>
      </x:c>
      <x:c r="C17" t="str">
        <x:v>HQ</x:v>
      </x:c>
      <x:c r="D17" s="16" t="n">
        <x:v>3415000</x:v>
      </x:c>
      <x:c r="E17" s="16" t="n">
        <x:v>1150000</x:v>
      </x:c>
      <x:c r="F17" s="14" t="n">
        <x:f>SUM(D17:E17)</x:f>
        <x:v>4565000</x:v>
      </x:c>
    </x:row>
    <x:row r="18">
      <x:c r="A18" t="n">
        <x:v>5</x:v>
      </x:c>
      <x:c r="B18" t="str">
        <x:v>Q2</x:v>
      </x:c>
      <x:c r="C18" t="str">
        <x:v>IT</x:v>
      </x:c>
      <x:c r="D18" s="16" t="n">
        <x:v>11569000</x:v>
      </x:c>
      <x:c r="E18" s="16" t="n">
        <x:v>1720000</x:v>
      </x:c>
      <x:c r="F18" s="14" t="n">
        <x:f>SUM(D18:E18)</x:f>
        <x:v>13289000</x:v>
      </x:c>
    </x:row>
    <x:row r="19">
      <x:c r="A19" t="n">
        <x:v>5</x:v>
      </x:c>
      <x:c r="B19" t="str">
        <x:v>Q2</x:v>
      </x:c>
      <x:c r="C19" t="str">
        <x:v>BPO</x:v>
      </x:c>
      <x:c r="D19" s="16" t="n">
        <x:v>8501000</x:v>
      </x:c>
      <x:c r="E19" s="16" t="n">
        <x:v>1380000</x:v>
      </x:c>
      <x:c r="F19" s="14" t="n">
        <x:f>SUM(D19:E19)</x:f>
        <x:v>9881000</x:v>
      </x:c>
    </x:row>
    <x:row r="20">
      <x:c r="A20" t="n">
        <x:v>5</x:v>
      </x:c>
      <x:c r="B20" t="str">
        <x:v>Q2</x:v>
      </x:c>
      <x:c r="C20" t="str">
        <x:v>TRN</x:v>
      </x:c>
      <x:c r="D20" s="16" t="n">
        <x:v>5282000</x:v>
      </x:c>
      <x:c r="E20" s="16" t="n">
        <x:v>930000</x:v>
      </x:c>
      <x:c r="F20" s="14" t="n">
        <x:f>SUM(D20:E20)</x:f>
        <x:v>6212000</x:v>
      </x:c>
    </x:row>
    <x:row r="21">
      <x:c r="A21" t="n">
        <x:v>5</x:v>
      </x:c>
      <x:c r="B21" t="str">
        <x:v>Q2</x:v>
      </x:c>
      <x:c r="C21" t="str">
        <x:v>HQ</x:v>
      </x:c>
      <x:c r="D21" s="16" t="n">
        <x:v>3420000</x:v>
      </x:c>
      <x:c r="E21" s="16" t="n">
        <x:v>1150000</x:v>
      </x:c>
      <x:c r="F21" s="14" t="n">
        <x:f>SUM(D21:E21)</x:f>
        <x:v>4570000</x:v>
      </x:c>
    </x:row>
    <x:row r="22">
      <x:c r="A22" t="n">
        <x:v>6</x:v>
      </x:c>
      <x:c r="B22" t="str">
        <x:v>Q2</x:v>
      </x:c>
      <x:c r="C22" t="str">
        <x:v>IT</x:v>
      </x:c>
      <x:c r="D22" s="16" t="n">
        <x:v>11586000</x:v>
      </x:c>
      <x:c r="E22" s="16" t="n">
        <x:v>1720000</x:v>
      </x:c>
      <x:c r="F22" s="14" t="n">
        <x:f>SUM(D22:E22)</x:f>
        <x:v>13306000</x:v>
      </x:c>
    </x:row>
    <x:row r="23">
      <x:c r="A23" t="n">
        <x:v>6</x:v>
      </x:c>
      <x:c r="B23" t="str">
        <x:v>Q2</x:v>
      </x:c>
      <x:c r="C23" t="str">
        <x:v>BPO</x:v>
      </x:c>
      <x:c r="D23" s="16" t="n">
        <x:v>8513000</x:v>
      </x:c>
      <x:c r="E23" s="16" t="n">
        <x:v>1380000</x:v>
      </x:c>
      <x:c r="F23" s="14" t="n">
        <x:f>SUM(D23:E23)</x:f>
        <x:v>9893000</x:v>
      </x:c>
    </x:row>
    <x:row r="24">
      <x:c r="A24" t="n">
        <x:v>6</x:v>
      </x:c>
      <x:c r="B24" t="str">
        <x:v>Q2</x:v>
      </x:c>
      <x:c r="C24" t="str">
        <x:v>TRN</x:v>
      </x:c>
      <x:c r="D24" s="16" t="n">
        <x:v>5289000</x:v>
      </x:c>
      <x:c r="E24" s="16" t="n">
        <x:v>930000</x:v>
      </x:c>
      <x:c r="F24" s="14" t="n">
        <x:f>SUM(D24:E24)</x:f>
        <x:v>6219000</x:v>
      </x:c>
    </x:row>
    <x:row r="25">
      <x:c r="A25" t="n">
        <x:v>6</x:v>
      </x:c>
      <x:c r="B25" t="str">
        <x:v>Q2</x:v>
      </x:c>
      <x:c r="C25" t="str">
        <x:v>HQ</x:v>
      </x:c>
      <x:c r="D25" s="16" t="n">
        <x:v>3426000</x:v>
      </x:c>
      <x:c r="E25" s="16" t="n">
        <x:v>1150000</x:v>
      </x:c>
      <x:c r="F25" s="14" t="n">
        <x:f>SUM(D25:E25)</x:f>
        <x:v>4576000</x:v>
      </x:c>
    </x:row>
    <x:row r="26">
      <x:c r="A26" t="n">
        <x:v>7</x:v>
      </x:c>
      <x:c r="B26" t="str">
        <x:v>Q3</x:v>
      </x:c>
      <x:c r="C26" t="str">
        <x:v>IT</x:v>
      </x:c>
      <x:c r="D26" s="16" t="n">
        <x:v>11603000</x:v>
      </x:c>
      <x:c r="E26" s="16" t="n">
        <x:v>1720000</x:v>
      </x:c>
      <x:c r="F26" s="14" t="n">
        <x:f>SUM(D26:E26)</x:f>
        <x:v>13323000</x:v>
      </x:c>
    </x:row>
    <x:row r="27">
      <x:c r="A27" t="n">
        <x:v>7</x:v>
      </x:c>
      <x:c r="B27" t="str">
        <x:v>Q3</x:v>
      </x:c>
      <x:c r="C27" t="str">
        <x:v>BPO</x:v>
      </x:c>
      <x:c r="D27" s="16" t="n">
        <x:v>8526000</x:v>
      </x:c>
      <x:c r="E27" s="16" t="n">
        <x:v>1380000</x:v>
      </x:c>
      <x:c r="F27" s="14" t="n">
        <x:f>SUM(D27:E27)</x:f>
        <x:v>9906000</x:v>
      </x:c>
    </x:row>
    <x:row r="28">
      <x:c r="A28" t="n">
        <x:v>7</x:v>
      </x:c>
      <x:c r="B28" t="str">
        <x:v>Q3</x:v>
      </x:c>
      <x:c r="C28" t="str">
        <x:v>TRN</x:v>
      </x:c>
      <x:c r="D28" s="16" t="n">
        <x:v>5297000</x:v>
      </x:c>
      <x:c r="E28" s="16" t="n">
        <x:v>930000</x:v>
      </x:c>
      <x:c r="F28" s="14" t="n">
        <x:f>SUM(D28:E28)</x:f>
        <x:v>6227000</x:v>
      </x:c>
    </x:row>
    <x:row r="29">
      <x:c r="A29" t="n">
        <x:v>7</x:v>
      </x:c>
      <x:c r="B29" t="str">
        <x:v>Q3</x:v>
      </x:c>
      <x:c r="C29" t="str">
        <x:v>HQ</x:v>
      </x:c>
      <x:c r="D29" s="16" t="n">
        <x:v>3431000</x:v>
      </x:c>
      <x:c r="E29" s="16" t="n">
        <x:v>1150000</x:v>
      </x:c>
      <x:c r="F29" s="14" t="n">
        <x:f>SUM(D29:E29)</x:f>
        <x:v>4581000</x:v>
      </x:c>
    </x:row>
    <x:row r="30">
      <x:c r="A30" t="n">
        <x:v>8</x:v>
      </x:c>
      <x:c r="B30" t="str">
        <x:v>Q3</x:v>
      </x:c>
      <x:c r="C30" t="str">
        <x:v>IT</x:v>
      </x:c>
      <x:c r="D30" s="16" t="n">
        <x:v>11621000</x:v>
      </x:c>
      <x:c r="E30" s="16" t="n">
        <x:v>1720000</x:v>
      </x:c>
      <x:c r="F30" s="14" t="n">
        <x:f>SUM(D30:E30)</x:f>
        <x:v>13341000</x:v>
      </x:c>
    </x:row>
    <x:row r="31">
      <x:c r="A31" t="n">
        <x:v>8</x:v>
      </x:c>
      <x:c r="B31" t="str">
        <x:v>Q3</x:v>
      </x:c>
      <x:c r="C31" t="str">
        <x:v>BPO</x:v>
      </x:c>
      <x:c r="D31" s="16" t="n">
        <x:v>8539000</x:v>
      </x:c>
      <x:c r="E31" s="16" t="n">
        <x:v>1380000</x:v>
      </x:c>
      <x:c r="F31" s="14" t="n">
        <x:f>SUM(D31:E31)</x:f>
        <x:v>9919000</x:v>
      </x:c>
    </x:row>
    <x:row r="32">
      <x:c r="A32" t="n">
        <x:v>8</x:v>
      </x:c>
      <x:c r="B32" t="str">
        <x:v>Q3</x:v>
      </x:c>
      <x:c r="C32" t="str">
        <x:v>TRN</x:v>
      </x:c>
      <x:c r="D32" s="16" t="n">
        <x:v>5305000</x:v>
      </x:c>
      <x:c r="E32" s="16" t="n">
        <x:v>930000</x:v>
      </x:c>
      <x:c r="F32" s="14" t="n">
        <x:f>SUM(D32:E32)</x:f>
        <x:v>6235000</x:v>
      </x:c>
    </x:row>
    <x:row r="33">
      <x:c r="A33" t="n">
        <x:v>8</x:v>
      </x:c>
      <x:c r="B33" t="str">
        <x:v>Q3</x:v>
      </x:c>
      <x:c r="C33" t="str">
        <x:v>HQ</x:v>
      </x:c>
      <x:c r="D33" s="16" t="n">
        <x:v>3436000</x:v>
      </x:c>
      <x:c r="E33" s="16" t="n">
        <x:v>1150000</x:v>
      </x:c>
      <x:c r="F33" s="14" t="n">
        <x:f>SUM(D33:E33)</x:f>
        <x:v>4586000</x:v>
      </x:c>
    </x:row>
    <x:row r="34">
      <x:c r="A34" t="n">
        <x:v>9</x:v>
      </x:c>
      <x:c r="B34" t="str">
        <x:v>Q3</x:v>
      </x:c>
      <x:c r="C34" t="str">
        <x:v>IT</x:v>
      </x:c>
      <x:c r="D34" s="16" t="n">
        <x:v>11638000</x:v>
      </x:c>
      <x:c r="E34" s="16" t="n">
        <x:v>1720000</x:v>
      </x:c>
      <x:c r="F34" s="14" t="n">
        <x:f>SUM(D34:E34)</x:f>
        <x:v>13358000</x:v>
      </x:c>
    </x:row>
    <x:row r="35">
      <x:c r="A35" t="n">
        <x:v>9</x:v>
      </x:c>
      <x:c r="B35" t="str">
        <x:v>Q3</x:v>
      </x:c>
      <x:c r="C35" t="str">
        <x:v>BPO</x:v>
      </x:c>
      <x:c r="D35" s="16" t="n">
        <x:v>8551000</x:v>
      </x:c>
      <x:c r="E35" s="16" t="n">
        <x:v>1380000</x:v>
      </x:c>
      <x:c r="F35" s="14" t="n">
        <x:f>SUM(D35:E35)</x:f>
        <x:v>9931000</x:v>
      </x:c>
    </x:row>
    <x:row r="36">
      <x:c r="A36" t="n">
        <x:v>9</x:v>
      </x:c>
      <x:c r="B36" t="str">
        <x:v>Q3</x:v>
      </x:c>
      <x:c r="C36" t="str">
        <x:v>TRN</x:v>
      </x:c>
      <x:c r="D36" s="16" t="n">
        <x:v>5313000</x:v>
      </x:c>
      <x:c r="E36" s="16" t="n">
        <x:v>930000</x:v>
      </x:c>
      <x:c r="F36" s="14" t="n">
        <x:f>SUM(D36:E36)</x:f>
        <x:v>6243000</x:v>
      </x:c>
    </x:row>
    <x:row r="37">
      <x:c r="A37" t="n">
        <x:v>9</x:v>
      </x:c>
      <x:c r="B37" t="str">
        <x:v>Q3</x:v>
      </x:c>
      <x:c r="C37" t="str">
        <x:v>HQ</x:v>
      </x:c>
      <x:c r="D37" s="16" t="n">
        <x:v>3441000</x:v>
      </x:c>
      <x:c r="E37" s="16" t="n">
        <x:v>1150000</x:v>
      </x:c>
      <x:c r="F37" s="14" t="n">
        <x:f>SUM(D37:E37)</x:f>
        <x:v>4591000</x:v>
      </x:c>
    </x:row>
    <x:row r="38">
      <x:c r="A38" t="n">
        <x:v>10</x:v>
      </x:c>
      <x:c r="B38" t="str">
        <x:v>Q4</x:v>
      </x:c>
      <x:c r="C38" t="str">
        <x:v>IT</x:v>
      </x:c>
      <x:c r="D38" s="16" t="n">
        <x:v>11655000</x:v>
      </x:c>
      <x:c r="E38" s="16" t="n">
        <x:v>1720000</x:v>
      </x:c>
      <x:c r="F38" s="14" t="n">
        <x:f>SUM(D38:E38)</x:f>
        <x:v>13375000</x:v>
      </x:c>
    </x:row>
    <x:row r="39">
      <x:c r="A39" t="n">
        <x:v>10</x:v>
      </x:c>
      <x:c r="B39" t="str">
        <x:v>Q4</x:v>
      </x:c>
      <x:c r="C39" t="str">
        <x:v>BPO</x:v>
      </x:c>
      <x:c r="D39" s="16" t="n">
        <x:v>9223000</x:v>
      </x:c>
      <x:c r="E39" s="16" t="n">
        <x:v>1380000</x:v>
      </x:c>
      <x:c r="F39" s="14" t="n">
        <x:f>SUM(D39:E39)</x:f>
        <x:v>10603000</x:v>
      </x:c>
    </x:row>
    <x:row r="40">
      <x:c r="A40" t="n">
        <x:v>10</x:v>
      </x:c>
      <x:c r="B40" t="str">
        <x:v>Q4</x:v>
      </x:c>
      <x:c r="C40" t="str">
        <x:v>TRN</x:v>
      </x:c>
      <x:c r="D40" s="16" t="n">
        <x:v>5321000</x:v>
      </x:c>
      <x:c r="E40" s="16" t="n">
        <x:v>930000</x:v>
      </x:c>
      <x:c r="F40" s="14" t="n">
        <x:f>SUM(D40:E40)</x:f>
        <x:v>6251000</x:v>
      </x:c>
    </x:row>
    <x:row r="41">
      <x:c r="A41" t="n">
        <x:v>10</x:v>
      </x:c>
      <x:c r="B41" t="str">
        <x:v>Q4</x:v>
      </x:c>
      <x:c r="C41" t="str">
        <x:v>HQ</x:v>
      </x:c>
      <x:c r="D41" s="16" t="n">
        <x:v>3446000</x:v>
      </x:c>
      <x:c r="E41" s="16" t="n">
        <x:v>1150000</x:v>
      </x:c>
      <x:c r="F41" s="14" t="n">
        <x:f>SUM(D41:E41)</x:f>
        <x:v>4596000</x:v>
      </x:c>
    </x:row>
    <x:row r="42">
      <x:c r="A42" t="n">
        <x:v>11</x:v>
      </x:c>
      <x:c r="B42" t="str">
        <x:v>Q4</x:v>
      </x:c>
      <x:c r="C42" t="str">
        <x:v>IT</x:v>
      </x:c>
      <x:c r="D42" s="16" t="n">
        <x:v>11672000</x:v>
      </x:c>
      <x:c r="E42" s="16" t="n">
        <x:v>1720000</x:v>
      </x:c>
      <x:c r="F42" s="14" t="n">
        <x:f>SUM(D42:E42)</x:f>
        <x:v>13392000</x:v>
      </x:c>
    </x:row>
    <x:row r="43">
      <x:c r="A43" t="n">
        <x:v>11</x:v>
      </x:c>
      <x:c r="B43" t="str">
        <x:v>Q4</x:v>
      </x:c>
      <x:c r="C43" t="str">
        <x:v>BPO</x:v>
      </x:c>
      <x:c r="D43" s="16" t="n">
        <x:v>9236000</x:v>
      </x:c>
      <x:c r="E43" s="16" t="n">
        <x:v>1380000</x:v>
      </x:c>
      <x:c r="F43" s="14" t="n">
        <x:f>SUM(D43:E43)</x:f>
        <x:v>10616000</x:v>
      </x:c>
    </x:row>
    <x:row r="44">
      <x:c r="A44" t="n">
        <x:v>11</x:v>
      </x:c>
      <x:c r="B44" t="str">
        <x:v>Q4</x:v>
      </x:c>
      <x:c r="C44" t="str">
        <x:v>TRN</x:v>
      </x:c>
      <x:c r="D44" s="16" t="n">
        <x:v>5329000</x:v>
      </x:c>
      <x:c r="E44" s="16" t="n">
        <x:v>930000</x:v>
      </x:c>
      <x:c r="F44" s="14" t="n">
        <x:f>SUM(D44:E44)</x:f>
        <x:v>6259000</x:v>
      </x:c>
    </x:row>
    <x:row r="45">
      <x:c r="A45" t="n">
        <x:v>11</x:v>
      </x:c>
      <x:c r="B45" t="str">
        <x:v>Q4</x:v>
      </x:c>
      <x:c r="C45" t="str">
        <x:v>HQ</x:v>
      </x:c>
      <x:c r="D45" s="16" t="n">
        <x:v>3451000</x:v>
      </x:c>
      <x:c r="E45" s="16" t="n">
        <x:v>1150000</x:v>
      </x:c>
      <x:c r="F45" s="14" t="n">
        <x:f>SUM(D45:E45)</x:f>
        <x:v>4601000</x:v>
      </x:c>
    </x:row>
    <x:row r="46">
      <x:c r="A46" t="n">
        <x:v>12</x:v>
      </x:c>
      <x:c r="B46" t="str">
        <x:v>Q4</x:v>
      </x:c>
      <x:c r="C46" t="str">
        <x:v>IT</x:v>
      </x:c>
      <x:c r="D46" s="16" t="n">
        <x:v>11690000</x:v>
      </x:c>
      <x:c r="E46" s="16" t="n">
        <x:v>1720000</x:v>
      </x:c>
      <x:c r="F46" s="14" t="n">
        <x:f>SUM(D46:E46)</x:f>
        <x:v>13410000</x:v>
      </x:c>
    </x:row>
    <x:row r="47">
      <x:c r="A47" t="n">
        <x:v>12</x:v>
      </x:c>
      <x:c r="B47" t="str">
        <x:v>Q4</x:v>
      </x:c>
      <x:c r="C47" t="str">
        <x:v>BPO</x:v>
      </x:c>
      <x:c r="D47" s="16" t="n">
        <x:v>9250000</x:v>
      </x:c>
      <x:c r="E47" s="16" t="n">
        <x:v>1380000</x:v>
      </x:c>
      <x:c r="F47" s="14" t="n">
        <x:f>SUM(D47:E47)</x:f>
        <x:v>10630000</x:v>
      </x:c>
    </x:row>
    <x:row r="48">
      <x:c r="A48" t="n">
        <x:v>12</x:v>
      </x:c>
      <x:c r="B48" t="str">
        <x:v>Q4</x:v>
      </x:c>
      <x:c r="C48" t="str">
        <x:v>TRN</x:v>
      </x:c>
      <x:c r="D48" s="16" t="n">
        <x:v>5337000</x:v>
      </x:c>
      <x:c r="E48" s="16" t="n">
        <x:v>930000</x:v>
      </x:c>
      <x:c r="F48" s="14" t="n">
        <x:f>SUM(D48:E48)</x:f>
        <x:v>6267000</x:v>
      </x:c>
    </x:row>
    <x:row r="49">
      <x:c r="A49" t="n">
        <x:v>12</x:v>
      </x:c>
      <x:c r="B49" t="str">
        <x:v>Q4</x:v>
      </x:c>
      <x:c r="C49" t="str">
        <x:v>HQ</x:v>
      </x:c>
      <x:c r="D49" s="16" t="n">
        <x:v>3456000</x:v>
      </x:c>
      <x:c r="E49" s="16" t="n">
        <x:v>1150000</x:v>
      </x:c>
      <x:c r="F49" s="14" t="n">
        <x:f>SUM(D49:E49)</x:f>
        <x:v>4606000</x:v>
      </x:c>
    </x:row>
  </x:sheetData>
  <x:pageMargins left="0.7" right="0.7" top="0.75" bottom="0.75" header="0.3" footer="0.3"/>
  <x:tableParts count="1">
    <x:tablePart xmlns:r="http://schemas.openxmlformats.org/officeDocument/2006/relationships" r:id="R5d432d2ce7524042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18" hidden="0" customWidth="1"/>
    <x:col min="13" max="13" width="18" hidden="0" customWidth="1"/>
  </x:cols>
  <x:sheetData>
    <x:row r="1" ht="25" customHeight="1">
      <x:c r="A1" s="21" t="str">
        <x:v>MONTHLY PERFORMANCE | 部門別計算シート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</x:row>
    <x:row r="2" ht="25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</x:row>
    <x:row r="4" ht="26" customHeight="1">
      <x:c r="A4" s="5" t="str">
        <x:v>月</x:v>
      </x:c>
      <x:c r="B4" s="5" t="str">
        <x:v>部門ID</x:v>
      </x:c>
      <x:c r="C4" s="5" t="str">
        <x:v>四半期</x:v>
      </x:c>
      <x:c r="D4" s="5" t="str">
        <x:v>売上実績（円）</x:v>
      </x:c>
      <x:c r="E4" s="5" t="str">
        <x:v>変動費（円）</x:v>
      </x:c>
      <x:c r="F4" s="5" t="str">
        <x:v>限界利益（円）</x:v>
      </x:c>
      <x:c r="G4" s="5" t="str">
        <x:v>部門固定費（円）</x:v>
      </x:c>
      <x:c r="H4" s="5" t="str">
        <x:v>本社共通費配賦（円）</x:v>
      </x:c>
      <x:c r="I4" s="5" t="str">
        <x:v>営業利益（円）</x:v>
      </x:c>
      <x:c r="J4" s="5" t="str">
        <x:v>売上予算（円）</x:v>
      </x:c>
      <x:c r="K4" s="5" t="str">
        <x:v>利益予算（円）</x:v>
      </x:c>
      <x:c r="L4" s="5" t="str">
        <x:v>売上予算達成率</x:v>
      </x:c>
      <x:c r="M4" s="5" t="str">
        <x:v>営業利益率</x:v>
      </x:c>
    </x:row>
    <x:row r="5">
      <x:c r="A5" t="n">
        <x:v>1</x:v>
      </x:c>
      <x:c r="B5" t="str">
        <x:v>IT</x:v>
      </x:c>
      <x:c r="C5" t="str">
        <x:v>Q1</x:v>
      </x:c>
      <x:c r="D5" s="14" t="n">
        <x:f>SUMIFS(Transactions!$H$2:$H$2000,Transactions!$B$2:$B$2000,$A5,Transactions!$D$2:$D$2000,$B5)</x:f>
        <x:v>19590000</x:v>
      </x:c>
      <x:c r="E5" s="14" t="n">
        <x:f>SUMIFS(Transactions!$L$2:$L$2000,Transactions!$B$2:$B$2000,$A5,Transactions!$D$2:$D$2000,$B5)</x:f>
        <x:v>6929000</x:v>
      </x:c>
      <x:c r="F5" s="14" t="n">
        <x:f>D5-E5</x:f>
        <x:v>12661000</x:v>
      </x:c>
      <x:c r="G5" s="14" t="n">
        <x:f>SUMIFS(MonthlyCosts!$F$2:$F$49,MonthlyCosts!$A$2:$A$49,$A5,MonthlyCosts!$C$2:$C$49,$B5)</x:f>
        <x:v>13220000</x:v>
      </x:c>
      <x:c r="H5" s="14" t="n">
        <x:f>IF($B5="TRN",SUMIFS(MonthlyCosts!$F$2:$F$49,MonthlyCosts!$A$2:$A$49,$A5,MonthlyCosts!$C$2:$C$49,"HQ")-ROUND(SUMIFS(MonthlyCosts!$F$2:$F$49,MonthlyCosts!$A$2:$A$49,$A5,MonthlyCosts!$C$2:$C$49,"HQ")*Divisions!$D$2,0)-ROUND(SUMIFS(MonthlyCosts!$F$2:$F$49,MonthlyCosts!$A$2:$A$49,$A5,MonthlyCosts!$C$2:$C$49,"HQ")*Divisions!$D$3,0),ROUND(SUMIFS(MonthlyCosts!$F$2:$F$49,MonthlyCosts!$A$2:$A$49,$A5,MonthlyCosts!$C$2:$C$49,"HQ")*INDEX(Divisions!$D$2:$D$4,MATCH($B5,Divisions!$A$2:$A$4,0)),0))</x:f>
        <x:v>2022222</x:v>
      </x:c>
      <x:c r="I5" s="14" t="n">
        <x:f>F5-G5-H5</x:f>
        <x:v>-2581222</x:v>
      </x:c>
      <x:c r="J5" s="14" t="n">
        <x:f>SUMIFS(Budget!$D$2:$D$37,Budget!$A$2:$A$37,$A5,Budget!$C$2:$C$37,$B5)</x:f>
        <x:v>25650000</x:v>
      </x:c>
      <x:c r="K5" s="14" t="n">
        <x:f>SUMIFS(Budget!$I$2:$I$37,Budget!$A$2:$A$37,$A5,Budget!$C$2:$C$37,$B5)</x:f>
        <x:v>1500500</x:v>
      </x:c>
      <x:c r="L5" s="10" t="n">
        <x:f>IFERROR(D5/J5,0)</x:f>
        <x:v>0.7637426900584795</x:v>
      </x:c>
      <x:c r="M5" s="10" t="n">
        <x:f>IFERROR(I5/D5,0)</x:f>
        <x:v>-0.13176222562531903</x:v>
      </x:c>
    </x:row>
    <x:row r="6">
      <x:c r="A6" t="n">
        <x:v>1</x:v>
      </x:c>
      <x:c r="B6" t="str">
        <x:v>BPO</x:v>
      </x:c>
      <x:c r="C6" t="str">
        <x:v>Q1</x:v>
      </x:c>
      <x:c r="D6" s="14" t="n">
        <x:f>SUMIFS(Transactions!$H$2:$H$2000,Transactions!$B$2:$B$2000,$A6,Transactions!$D$2:$D$2000,$B6)</x:f>
        <x:v>19273000</x:v>
      </x:c>
      <x:c r="E6" s="14" t="n">
        <x:f>SUMIFS(Transactions!$L$2:$L$2000,Transactions!$B$2:$B$2000,$A6,Transactions!$D$2:$D$2000,$B6)</x:f>
        <x:v>4864000</x:v>
      </x:c>
      <x:c r="F6" s="14" t="n">
        <x:f>D6-E6</x:f>
        <x:v>14409000</x:v>
      </x:c>
      <x:c r="G6" s="14" t="n">
        <x:f>SUMIFS(MonthlyCosts!$F$2:$F$49,MonthlyCosts!$A$2:$A$49,$A6,MonthlyCosts!$C$2:$C$49,$B6)</x:f>
        <x:v>9830000</x:v>
      </x:c>
      <x:c r="H6" s="14" t="n">
        <x:f>IF($B6="TRN",SUMIFS(MonthlyCosts!$F$2:$F$49,MonthlyCosts!$A$2:$A$49,$A6,MonthlyCosts!$C$2:$C$49,"HQ")-ROUND(SUMIFS(MonthlyCosts!$F$2:$F$49,MonthlyCosts!$A$2:$A$49,$A6,MonthlyCosts!$C$2:$C$49,"HQ")*Divisions!$D$2,0)-ROUND(SUMIFS(MonthlyCosts!$F$2:$F$49,MonthlyCosts!$A$2:$A$49,$A6,MonthlyCosts!$C$2:$C$49,"HQ")*Divisions!$D$3,0),ROUND(SUMIFS(MonthlyCosts!$F$2:$F$49,MonthlyCosts!$A$2:$A$49,$A6,MonthlyCosts!$C$2:$C$49,"HQ")*INDEX(Divisions!$D$2:$D$4,MATCH($B6,Divisions!$A$2:$A$4,0)),0))</x:f>
        <x:v>1516667</x:v>
      </x:c>
      <x:c r="I6" s="14" t="n">
        <x:f>F6-G6-H6</x:f>
        <x:v>3062333</x:v>
      </x:c>
      <x:c r="J6" s="14" t="n">
        <x:f>SUMIFS(Budget!$D$2:$D$37,Budget!$A$2:$A$37,$A6,Budget!$C$2:$C$37,$B6)</x:f>
        <x:v>21000000</x:v>
      </x:c>
      <x:c r="K6" s="14" t="n">
        <x:f>SUMIFS(Budget!$I$2:$I$37,Budget!$A$2:$A$37,$A6,Budget!$C$2:$C$37,$B6)</x:f>
        <x:v>4173000</x:v>
      </x:c>
      <x:c r="L6" s="10" t="n">
        <x:f>IFERROR(D6/J6,0)</x:f>
        <x:v>0.9177619047619048</x:v>
      </x:c>
      <x:c r="M6" s="10" t="n">
        <x:f>IFERROR(I6/D6,0)</x:f>
        <x:v>0.1588923883152597</x:v>
      </x:c>
    </x:row>
    <x:row r="7">
      <x:c r="A7" t="n">
        <x:v>1</x:v>
      </x:c>
      <x:c r="B7" t="str">
        <x:v>TRN</x:v>
      </x:c>
      <x:c r="C7" t="str">
        <x:v>Q1</x:v>
      </x:c>
      <x:c r="D7" s="14" t="n">
        <x:f>SUMIFS(Transactions!$H$2:$H$2000,Transactions!$B$2:$B$2000,$A7,Transactions!$D$2:$D$2000,$B7)</x:f>
        <x:v>7512000</x:v>
      </x:c>
      <x:c r="E7" s="14" t="n">
        <x:f>SUMIFS(Transactions!$L$2:$L$2000,Transactions!$B$2:$B$2000,$A7,Transactions!$D$2:$D$2000,$B7)</x:f>
        <x:v>1329000</x:v>
      </x:c>
      <x:c r="F7" s="14" t="n">
        <x:f>D7-E7</x:f>
        <x:v>6183000</x:v>
      </x:c>
      <x:c r="G7" s="14" t="n">
        <x:f>SUMIFS(MonthlyCosts!$F$2:$F$49,MonthlyCosts!$A$2:$A$49,$A7,MonthlyCosts!$C$2:$C$49,$B7)</x:f>
        <x:v>6180000</x:v>
      </x:c>
      <x:c r="H7" s="14" t="n">
        <x:f>IF($B7="TRN",SUMIFS(MonthlyCosts!$F$2:$F$49,MonthlyCosts!$A$2:$A$49,$A7,MonthlyCosts!$C$2:$C$49,"HQ")-ROUND(SUMIFS(MonthlyCosts!$F$2:$F$49,MonthlyCosts!$A$2:$A$49,$A7,MonthlyCosts!$C$2:$C$49,"HQ")*Divisions!$D$2,0)-ROUND(SUMIFS(MonthlyCosts!$F$2:$F$49,MonthlyCosts!$A$2:$A$49,$A7,MonthlyCosts!$C$2:$C$49,"HQ")*Divisions!$D$3,0),ROUND(SUMIFS(MonthlyCosts!$F$2:$F$49,MonthlyCosts!$A$2:$A$49,$A7,MonthlyCosts!$C$2:$C$49,"HQ")*INDEX(Divisions!$D$2:$D$4,MATCH($B7,Divisions!$A$2:$A$4,0)),0))</x:f>
        <x:v>1011111</x:v>
      </x:c>
      <x:c r="I7" s="14" t="n">
        <x:f>F7-G7-H7</x:f>
        <x:v>-1008111</x:v>
      </x:c>
      <x:c r="J7" s="14" t="n">
        <x:f>SUMIFS(Budget!$D$2:$D$37,Budget!$A$2:$A$37,$A7,Budget!$C$2:$C$37,$B7)</x:f>
        <x:v>8730000</x:v>
      </x:c>
      <x:c r="K7" s="14" t="n">
        <x:f>SUMIFS(Budget!$I$2:$I$37,Budget!$A$2:$A$37,$A7,Budget!$C$2:$C$37,$B7)</x:f>
        <x:v>84900</x:v>
      </x:c>
      <x:c r="L7" s="10" t="n">
        <x:f>IFERROR(D7/J7,0)</x:f>
        <x:v>0.8604810996563574</x:v>
      </x:c>
      <x:c r="M7" s="10" t="n">
        <x:f>IFERROR(I7/D7,0)</x:f>
        <x:v>-0.13420007987220448</x:v>
      </x:c>
    </x:row>
    <x:row r="8">
      <x:c r="A8" t="n">
        <x:v>2</x:v>
      </x:c>
      <x:c r="B8" t="str">
        <x:v>IT</x:v>
      </x:c>
      <x:c r="C8" t="str">
        <x:v>Q1</x:v>
      </x:c>
      <x:c r="D8" s="14" t="n">
        <x:f>SUMIFS(Transactions!$H$2:$H$2000,Transactions!$B$2:$B$2000,$A8,Transactions!$D$2:$D$2000,$B8)</x:f>
        <x:v>19075000</x:v>
      </x:c>
      <x:c r="E8" s="14" t="n">
        <x:f>SUMIFS(Transactions!$L$2:$L$2000,Transactions!$B$2:$B$2000,$A8,Transactions!$D$2:$D$2000,$B8)</x:f>
        <x:v>6695000</x:v>
      </x:c>
      <x:c r="F8" s="14" t="n">
        <x:f>D8-E8</x:f>
        <x:v>12380000</x:v>
      </x:c>
      <x:c r="G8" s="14" t="n">
        <x:f>SUMIFS(MonthlyCosts!$F$2:$F$49,MonthlyCosts!$A$2:$A$49,$A8,MonthlyCosts!$C$2:$C$49,$B8)</x:f>
        <x:v>13237000</x:v>
      </x:c>
      <x:c r="H8" s="14" t="n">
        <x:f>IF($B8="TRN",SUMIFS(MonthlyCosts!$F$2:$F$49,MonthlyCosts!$A$2:$A$49,$A8,MonthlyCosts!$C$2:$C$49,"HQ")-ROUND(SUMIFS(MonthlyCosts!$F$2:$F$49,MonthlyCosts!$A$2:$A$49,$A8,MonthlyCosts!$C$2:$C$49,"HQ")*Divisions!$D$2,0)-ROUND(SUMIFS(MonthlyCosts!$F$2:$F$49,MonthlyCosts!$A$2:$A$49,$A8,MonthlyCosts!$C$2:$C$49,"HQ")*Divisions!$D$3,0),ROUND(SUMIFS(MonthlyCosts!$F$2:$F$49,MonthlyCosts!$A$2:$A$49,$A8,MonthlyCosts!$C$2:$C$49,"HQ")*INDEX(Divisions!$D$2:$D$4,MATCH($B8,Divisions!$A$2:$A$4,0)),0))</x:f>
        <x:v>2024444</x:v>
      </x:c>
      <x:c r="I8" s="14" t="n">
        <x:f>F8-G8-H8</x:f>
        <x:v>-2881444</x:v>
      </x:c>
      <x:c r="J8" s="14" t="n">
        <x:f>SUMIFS(Budget!$D$2:$D$37,Budget!$A$2:$A$37,$A8,Budget!$C$2:$C$37,$B8)</x:f>
        <x:v>25650000</x:v>
      </x:c>
      <x:c r="K8" s="14" t="n">
        <x:f>SUMIFS(Budget!$I$2:$I$37,Budget!$A$2:$A$37,$A8,Budget!$C$2:$C$37,$B8)</x:f>
        <x:v>1500500</x:v>
      </x:c>
      <x:c r="L8" s="10" t="n">
        <x:f>IFERROR(D8/J8,0)</x:f>
        <x:v>0.7436647173489279</x:v>
      </x:c>
      <x:c r="M8" s="10" t="n">
        <x:f>IFERROR(I8/D8,0)</x:f>
        <x:v>-0.1510586631716907</x:v>
      </x:c>
    </x:row>
    <x:row r="9">
      <x:c r="A9" t="n">
        <x:v>2</x:v>
      </x:c>
      <x:c r="B9" t="str">
        <x:v>BPO</x:v>
      </x:c>
      <x:c r="C9" t="str">
        <x:v>Q1</x:v>
      </x:c>
      <x:c r="D9" s="14" t="n">
        <x:f>SUMIFS(Transactions!$H$2:$H$2000,Transactions!$B$2:$B$2000,$A9,Transactions!$D$2:$D$2000,$B9)</x:f>
        <x:v>18208000</x:v>
      </x:c>
      <x:c r="E9" s="14" t="n">
        <x:f>SUMIFS(Transactions!$L$2:$L$2000,Transactions!$B$2:$B$2000,$A9,Transactions!$D$2:$D$2000,$B9)</x:f>
        <x:v>4703000</x:v>
      </x:c>
      <x:c r="F9" s="14" t="n">
        <x:f>D9-E9</x:f>
        <x:v>13505000</x:v>
      </x:c>
      <x:c r="G9" s="14" t="n">
        <x:f>SUMIFS(MonthlyCosts!$F$2:$F$49,MonthlyCosts!$A$2:$A$49,$A9,MonthlyCosts!$C$2:$C$49,$B9)</x:f>
        <x:v>9843000</x:v>
      </x:c>
      <x:c r="H9" s="14" t="n">
        <x:f>IF($B9="TRN",SUMIFS(MonthlyCosts!$F$2:$F$49,MonthlyCosts!$A$2:$A$49,$A9,MonthlyCosts!$C$2:$C$49,"HQ")-ROUND(SUMIFS(MonthlyCosts!$F$2:$F$49,MonthlyCosts!$A$2:$A$49,$A9,MonthlyCosts!$C$2:$C$49,"HQ")*Divisions!$D$2,0)-ROUND(SUMIFS(MonthlyCosts!$F$2:$F$49,MonthlyCosts!$A$2:$A$49,$A9,MonthlyCosts!$C$2:$C$49,"HQ")*Divisions!$D$3,0),ROUND(SUMIFS(MonthlyCosts!$F$2:$F$49,MonthlyCosts!$A$2:$A$49,$A9,MonthlyCosts!$C$2:$C$49,"HQ")*INDEX(Divisions!$D$2:$D$4,MATCH($B9,Divisions!$A$2:$A$4,0)),0))</x:f>
        <x:v>1518333</x:v>
      </x:c>
      <x:c r="I9" s="14" t="n">
        <x:f>F9-G9-H9</x:f>
        <x:v>2143667</x:v>
      </x:c>
      <x:c r="J9" s="14" t="n">
        <x:f>SUMIFS(Budget!$D$2:$D$37,Budget!$A$2:$A$37,$A9,Budget!$C$2:$C$37,$B9)</x:f>
        <x:v>21000000</x:v>
      </x:c>
      <x:c r="K9" s="14" t="n">
        <x:f>SUMIFS(Budget!$I$2:$I$37,Budget!$A$2:$A$37,$A9,Budget!$C$2:$C$37,$B9)</x:f>
        <x:v>4173000</x:v>
      </x:c>
      <x:c r="L9" s="10" t="n">
        <x:f>IFERROR(D9/J9,0)</x:f>
        <x:v>0.8670476190476191</x:v>
      </x:c>
      <x:c r="M9" s="10" t="n">
        <x:f>IFERROR(I9/D9,0)</x:f>
        <x:v>0.1177321507029877</x:v>
      </x:c>
    </x:row>
    <x:row r="10">
      <x:c r="A10" t="n">
        <x:v>2</x:v>
      </x:c>
      <x:c r="B10" t="str">
        <x:v>TRN</x:v>
      </x:c>
      <x:c r="C10" t="str">
        <x:v>Q1</x:v>
      </x:c>
      <x:c r="D10" s="14" t="n">
        <x:f>SUMIFS(Transactions!$H$2:$H$2000,Transactions!$B$2:$B$2000,$A10,Transactions!$D$2:$D$2000,$B10)</x:f>
        <x:v>8473000</x:v>
      </x:c>
      <x:c r="E10" s="14" t="n">
        <x:f>SUMIFS(Transactions!$L$2:$L$2000,Transactions!$B$2:$B$2000,$A10,Transactions!$D$2:$D$2000,$B10)</x:f>
        <x:v>1425000</x:v>
      </x:c>
      <x:c r="F10" s="14" t="n">
        <x:f>D10-E10</x:f>
        <x:v>7048000</x:v>
      </x:c>
      <x:c r="G10" s="14" t="n">
        <x:f>SUMIFS(MonthlyCosts!$F$2:$F$49,MonthlyCosts!$A$2:$A$49,$A10,MonthlyCosts!$C$2:$C$49,$B10)</x:f>
        <x:v>6188000</x:v>
      </x:c>
      <x:c r="H10" s="14" t="n">
        <x:f>IF($B10="TRN",SUMIFS(MonthlyCosts!$F$2:$F$49,MonthlyCosts!$A$2:$A$49,$A10,MonthlyCosts!$C$2:$C$49,"HQ")-ROUND(SUMIFS(MonthlyCosts!$F$2:$F$49,MonthlyCosts!$A$2:$A$49,$A10,MonthlyCosts!$C$2:$C$49,"HQ")*Divisions!$D$2,0)-ROUND(SUMIFS(MonthlyCosts!$F$2:$F$49,MonthlyCosts!$A$2:$A$49,$A10,MonthlyCosts!$C$2:$C$49,"HQ")*Divisions!$D$3,0),ROUND(SUMIFS(MonthlyCosts!$F$2:$F$49,MonthlyCosts!$A$2:$A$49,$A10,MonthlyCosts!$C$2:$C$49,"HQ")*INDEX(Divisions!$D$2:$D$4,MATCH($B10,Divisions!$A$2:$A$4,0)),0))</x:f>
        <x:v>1012223</x:v>
      </x:c>
      <x:c r="I10" s="14" t="n">
        <x:f>F10-G10-H10</x:f>
        <x:v>-152223</x:v>
      </x:c>
      <x:c r="J10" s="14" t="n">
        <x:f>SUMIFS(Budget!$D$2:$D$37,Budget!$A$2:$A$37,$A10,Budget!$C$2:$C$37,$B10)</x:f>
        <x:v>8730000</x:v>
      </x:c>
      <x:c r="K10" s="14" t="n">
        <x:f>SUMIFS(Budget!$I$2:$I$37,Budget!$A$2:$A$37,$A10,Budget!$C$2:$C$37,$B10)</x:f>
        <x:v>84900</x:v>
      </x:c>
      <x:c r="L10" s="10" t="n">
        <x:f>IFERROR(D10/J10,0)</x:f>
        <x:v>0.970561282932417</x:v>
      </x:c>
      <x:c r="M10" s="10" t="n">
        <x:f>IFERROR(I10/D10,0)</x:f>
        <x:v>-0.017965655611943823</x:v>
      </x:c>
    </x:row>
    <x:row r="11">
      <x:c r="A11" t="n">
        <x:v>3</x:v>
      </x:c>
      <x:c r="B11" t="str">
        <x:v>IT</x:v>
      </x:c>
      <x:c r="C11" t="str">
        <x:v>Q1</x:v>
      </x:c>
      <x:c r="D11" s="14" t="n">
        <x:f>SUMIFS(Transactions!$H$2:$H$2000,Transactions!$B$2:$B$2000,$A11,Transactions!$D$2:$D$2000,$B11)</x:f>
        <x:v>24772000</x:v>
      </x:c>
      <x:c r="E11" s="14" t="n">
        <x:f>SUMIFS(Transactions!$L$2:$L$2000,Transactions!$B$2:$B$2000,$A11,Transactions!$D$2:$D$2000,$B11)</x:f>
        <x:v>8507000</x:v>
      </x:c>
      <x:c r="F11" s="14" t="n">
        <x:f>D11-E11</x:f>
        <x:v>16265000</x:v>
      </x:c>
      <x:c r="G11" s="14" t="n">
        <x:f>SUMIFS(MonthlyCosts!$F$2:$F$49,MonthlyCosts!$A$2:$A$49,$A11,MonthlyCosts!$C$2:$C$49,$B11)</x:f>
        <x:v>13254000</x:v>
      </x:c>
      <x:c r="H11" s="14" t="n">
        <x:f>IF($B11="TRN",SUMIFS(MonthlyCosts!$F$2:$F$49,MonthlyCosts!$A$2:$A$49,$A11,MonthlyCosts!$C$2:$C$49,"HQ")-ROUND(SUMIFS(MonthlyCosts!$F$2:$F$49,MonthlyCosts!$A$2:$A$49,$A11,MonthlyCosts!$C$2:$C$49,"HQ")*Divisions!$D$2,0)-ROUND(SUMIFS(MonthlyCosts!$F$2:$F$49,MonthlyCosts!$A$2:$A$49,$A11,MonthlyCosts!$C$2:$C$49,"HQ")*Divisions!$D$3,0),ROUND(SUMIFS(MonthlyCosts!$F$2:$F$49,MonthlyCosts!$A$2:$A$49,$A11,MonthlyCosts!$C$2:$C$49,"HQ")*INDEX(Divisions!$D$2:$D$4,MATCH($B11,Divisions!$A$2:$A$4,0)),0))</x:f>
        <x:v>2026667</x:v>
      </x:c>
      <x:c r="I11" s="14" t="n">
        <x:f>F11-G11-H11</x:f>
        <x:v>984333</x:v>
      </x:c>
      <x:c r="J11" s="14" t="n">
        <x:f>SUMIFS(Budget!$D$2:$D$37,Budget!$A$2:$A$37,$A11,Budget!$C$2:$C$37,$B11)</x:f>
        <x:v>28080000</x:v>
      </x:c>
      <x:c r="K11" s="14" t="n">
        <x:f>SUMIFS(Budget!$I$2:$I$37,Budget!$A$2:$A$37,$A11,Budget!$C$2:$C$37,$B11)</x:f>
        <x:v>3080000</x:v>
      </x:c>
      <x:c r="L11" s="10" t="n">
        <x:f>IFERROR(D11/J11,0)</x:f>
        <x:v>0.8821937321937322</x:v>
      </x:c>
      <x:c r="M11" s="10" t="n">
        <x:f>IFERROR(I11/D11,0)</x:f>
        <x:v>0.03973570967221056</x:v>
      </x:c>
    </x:row>
    <x:row r="12">
      <x:c r="A12" t="n">
        <x:v>3</x:v>
      </x:c>
      <x:c r="B12" t="str">
        <x:v>BPO</x:v>
      </x:c>
      <x:c r="C12" t="str">
        <x:v>Q1</x:v>
      </x:c>
      <x:c r="D12" s="14" t="n">
        <x:f>SUMIFS(Transactions!$H$2:$H$2000,Transactions!$B$2:$B$2000,$A12,Transactions!$D$2:$D$2000,$B12)</x:f>
        <x:v>21085000</x:v>
      </x:c>
      <x:c r="E12" s="14" t="n">
        <x:f>SUMIFS(Transactions!$L$2:$L$2000,Transactions!$B$2:$B$2000,$A12,Transactions!$D$2:$D$2000,$B12)</x:f>
        <x:v>5252000</x:v>
      </x:c>
      <x:c r="F12" s="14" t="n">
        <x:f>D12-E12</x:f>
        <x:v>15833000</x:v>
      </x:c>
      <x:c r="G12" s="14" t="n">
        <x:f>SUMIFS(MonthlyCosts!$F$2:$F$49,MonthlyCosts!$A$2:$A$49,$A12,MonthlyCosts!$C$2:$C$49,$B12)</x:f>
        <x:v>9855000</x:v>
      </x:c>
      <x:c r="H12" s="14" t="n">
        <x:f>IF($B12="TRN",SUMIFS(MonthlyCosts!$F$2:$F$49,MonthlyCosts!$A$2:$A$49,$A12,MonthlyCosts!$C$2:$C$49,"HQ")-ROUND(SUMIFS(MonthlyCosts!$F$2:$F$49,MonthlyCosts!$A$2:$A$49,$A12,MonthlyCosts!$C$2:$C$49,"HQ")*Divisions!$D$2,0)-ROUND(SUMIFS(MonthlyCosts!$F$2:$F$49,MonthlyCosts!$A$2:$A$49,$A12,MonthlyCosts!$C$2:$C$49,"HQ")*Divisions!$D$3,0),ROUND(SUMIFS(MonthlyCosts!$F$2:$F$49,MonthlyCosts!$A$2:$A$49,$A12,MonthlyCosts!$C$2:$C$49,"HQ")*INDEX(Divisions!$D$2:$D$4,MATCH($B12,Divisions!$A$2:$A$4,0)),0))</x:f>
        <x:v>1520000</x:v>
      </x:c>
      <x:c r="I12" s="14" t="n">
        <x:f>F12-G12-H12</x:f>
        <x:v>4458000</x:v>
      </x:c>
      <x:c r="J12" s="14" t="n">
        <x:f>SUMIFS(Budget!$D$2:$D$37,Budget!$A$2:$A$37,$A12,Budget!$C$2:$C$37,$B12)</x:f>
        <x:v>21000000</x:v>
      </x:c>
      <x:c r="K12" s="14" t="n">
        <x:f>SUMIFS(Budget!$I$2:$I$37,Budget!$A$2:$A$37,$A12,Budget!$C$2:$C$37,$B12)</x:f>
        <x:v>4173000</x:v>
      </x:c>
      <x:c r="L12" s="10" t="n">
        <x:f>IFERROR(D12/J12,0)</x:f>
        <x:v>1.004047619047619</x:v>
      </x:c>
      <x:c r="M12" s="10" t="n">
        <x:f>IFERROR(I12/D12,0)</x:f>
        <x:v>0.21142992648802467</x:v>
      </x:c>
    </x:row>
    <x:row r="13">
      <x:c r="A13" t="n">
        <x:v>3</x:v>
      </x:c>
      <x:c r="B13" t="str">
        <x:v>TRN</x:v>
      </x:c>
      <x:c r="C13" t="str">
        <x:v>Q1</x:v>
      </x:c>
      <x:c r="D13" s="14" t="n">
        <x:f>SUMIFS(Transactions!$H$2:$H$2000,Transactions!$B$2:$B$2000,$A13,Transactions!$D$2:$D$2000,$B13)</x:f>
        <x:v>11083000</x:v>
      </x:c>
      <x:c r="E13" s="14" t="n">
        <x:f>SUMIFS(Transactions!$L$2:$L$2000,Transactions!$B$2:$B$2000,$A13,Transactions!$D$2:$D$2000,$B13)</x:f>
        <x:v>1873000</x:v>
      </x:c>
      <x:c r="F13" s="14" t="n">
        <x:f>D13-E13</x:f>
        <x:v>9210000</x:v>
      </x:c>
      <x:c r="G13" s="14" t="n">
        <x:f>SUMIFS(MonthlyCosts!$F$2:$F$49,MonthlyCosts!$A$2:$A$49,$A13,MonthlyCosts!$C$2:$C$49,$B13)</x:f>
        <x:v>6196000</x:v>
      </x:c>
      <x:c r="H13" s="14" t="n">
        <x:f>IF($B13="TRN",SUMIFS(MonthlyCosts!$F$2:$F$49,MonthlyCosts!$A$2:$A$49,$A13,MonthlyCosts!$C$2:$C$49,"HQ")-ROUND(SUMIFS(MonthlyCosts!$F$2:$F$49,MonthlyCosts!$A$2:$A$49,$A13,MonthlyCosts!$C$2:$C$49,"HQ")*Divisions!$D$2,0)-ROUND(SUMIFS(MonthlyCosts!$F$2:$F$49,MonthlyCosts!$A$2:$A$49,$A13,MonthlyCosts!$C$2:$C$49,"HQ")*Divisions!$D$3,0),ROUND(SUMIFS(MonthlyCosts!$F$2:$F$49,MonthlyCosts!$A$2:$A$49,$A13,MonthlyCosts!$C$2:$C$49,"HQ")*INDEX(Divisions!$D$2:$D$4,MATCH($B13,Divisions!$A$2:$A$4,0)),0))</x:f>
        <x:v>1013333</x:v>
      </x:c>
      <x:c r="I13" s="14" t="n">
        <x:f>F13-G13-H13</x:f>
        <x:v>2000667</x:v>
      </x:c>
      <x:c r="J13" s="14" t="n">
        <x:f>SUMIFS(Budget!$D$2:$D$37,Budget!$A$2:$A$37,$A13,Budget!$C$2:$C$37,$B13)</x:f>
        <x:v>11446000</x:v>
      </x:c>
      <x:c r="K13" s="14" t="n">
        <x:f>SUMIFS(Budget!$I$2:$I$37,Budget!$A$2:$A$37,$A13,Budget!$C$2:$C$37,$B13)</x:f>
        <x:v>2339180</x:v>
      </x:c>
      <x:c r="L13" s="10" t="n">
        <x:f>IFERROR(D13/J13,0)</x:f>
        <x:v>0.9682858640573127</x:v>
      </x:c>
      <x:c r="M13" s="10" t="n">
        <x:f>IFERROR(I13/D13,0)</x:f>
        <x:v>0.18051673734548407</x:v>
      </x:c>
    </x:row>
    <x:row r="14">
      <x:c r="A14" t="n">
        <x:v>4</x:v>
      </x:c>
      <x:c r="B14" t="str">
        <x:v>IT</x:v>
      </x:c>
      <x:c r="C14" t="str">
        <x:v>Q2</x:v>
      </x:c>
      <x:c r="D14" s="14" t="n">
        <x:f>SUMIFS(Transactions!$H$2:$H$2000,Transactions!$B$2:$B$2000,$A14,Transactions!$D$2:$D$2000,$B14)</x:f>
        <x:v>14789000</x:v>
      </x:c>
      <x:c r="E14" s="14" t="n">
        <x:f>SUMIFS(Transactions!$L$2:$L$2000,Transactions!$B$2:$B$2000,$A14,Transactions!$D$2:$D$2000,$B14)</x:f>
        <x:v>5221000</x:v>
      </x:c>
      <x:c r="F14" s="14" t="n">
        <x:f>D14-E14</x:f>
        <x:v>9568000</x:v>
      </x:c>
      <x:c r="G14" s="14" t="n">
        <x:f>SUMIFS(MonthlyCosts!$F$2:$F$49,MonthlyCosts!$A$2:$A$49,$A14,MonthlyCosts!$C$2:$C$49,$B14)</x:f>
        <x:v>13272000</x:v>
      </x:c>
      <x:c r="H14" s="14" t="n">
        <x:f>IF($B14="TRN",SUMIFS(MonthlyCosts!$F$2:$F$49,MonthlyCosts!$A$2:$A$49,$A14,MonthlyCosts!$C$2:$C$49,"HQ")-ROUND(SUMIFS(MonthlyCosts!$F$2:$F$49,MonthlyCosts!$A$2:$A$49,$A14,MonthlyCosts!$C$2:$C$49,"HQ")*Divisions!$D$2,0)-ROUND(SUMIFS(MonthlyCosts!$F$2:$F$49,MonthlyCosts!$A$2:$A$49,$A14,MonthlyCosts!$C$2:$C$49,"HQ")*Divisions!$D$3,0),ROUND(SUMIFS(MonthlyCosts!$F$2:$F$49,MonthlyCosts!$A$2:$A$49,$A14,MonthlyCosts!$C$2:$C$49,"HQ")*INDEX(Divisions!$D$2:$D$4,MATCH($B14,Divisions!$A$2:$A$4,0)),0))</x:f>
        <x:v>2028889</x:v>
      </x:c>
      <x:c r="I14" s="14" t="n">
        <x:f>F14-G14-H14</x:f>
        <x:v>-5732889</x:v>
      </x:c>
      <x:c r="J14" s="14" t="n">
        <x:f>SUMIFS(Budget!$D$2:$D$37,Budget!$A$2:$A$37,$A14,Budget!$C$2:$C$37,$B14)</x:f>
        <x:v>27540000</x:v>
      </x:c>
      <x:c r="K14" s="14" t="n">
        <x:f>SUMIFS(Budget!$I$2:$I$37,Budget!$A$2:$A$37,$A14,Budget!$C$2:$C$37,$B14)</x:f>
        <x:v>2729000</x:v>
      </x:c>
      <x:c r="L14" s="10" t="n">
        <x:f>IFERROR(D14/J14,0)</x:f>
        <x:v>0.5370007262164125</x:v>
      </x:c>
      <x:c r="M14" s="10" t="n">
        <x:f>IFERROR(I14/D14,0)</x:f>
        <x:v>-0.3876454797484617</x:v>
      </x:c>
    </x:row>
    <x:row r="15">
      <x:c r="A15" t="n">
        <x:v>4</x:v>
      </x:c>
      <x:c r="B15" t="str">
        <x:v>BPO</x:v>
      </x:c>
      <x:c r="C15" t="str">
        <x:v>Q2</x:v>
      </x:c>
      <x:c r="D15" s="14" t="n">
        <x:f>SUMIFS(Transactions!$H$2:$H$2000,Transactions!$B$2:$B$2000,$A15,Transactions!$D$2:$D$2000,$B15)</x:f>
        <x:v>19189000</x:v>
      </x:c>
      <x:c r="E15" s="14" t="n">
        <x:f>SUMIFS(Transactions!$L$2:$L$2000,Transactions!$B$2:$B$2000,$A15,Transactions!$D$2:$D$2000,$B15)</x:f>
        <x:v>4829000</x:v>
      </x:c>
      <x:c r="F15" s="14" t="n">
        <x:f>D15-E15</x:f>
        <x:v>14360000</x:v>
      </x:c>
      <x:c r="G15" s="14" t="n">
        <x:f>SUMIFS(MonthlyCosts!$F$2:$F$49,MonthlyCosts!$A$2:$A$49,$A15,MonthlyCosts!$C$2:$C$49,$B15)</x:f>
        <x:v>9868000</x:v>
      </x:c>
      <x:c r="H15" s="14" t="n">
        <x:f>IF($B15="TRN",SUMIFS(MonthlyCosts!$F$2:$F$49,MonthlyCosts!$A$2:$A$49,$A15,MonthlyCosts!$C$2:$C$49,"HQ")-ROUND(SUMIFS(MonthlyCosts!$F$2:$F$49,MonthlyCosts!$A$2:$A$49,$A15,MonthlyCosts!$C$2:$C$49,"HQ")*Divisions!$D$2,0)-ROUND(SUMIFS(MonthlyCosts!$F$2:$F$49,MonthlyCosts!$A$2:$A$49,$A15,MonthlyCosts!$C$2:$C$49,"HQ")*Divisions!$D$3,0),ROUND(SUMIFS(MonthlyCosts!$F$2:$F$49,MonthlyCosts!$A$2:$A$49,$A15,MonthlyCosts!$C$2:$C$49,"HQ")*INDEX(Divisions!$D$2:$D$4,MATCH($B15,Divisions!$A$2:$A$4,0)),0))</x:f>
        <x:v>1521667</x:v>
      </x:c>
      <x:c r="I15" s="14" t="n">
        <x:f>F15-G15-H15</x:f>
        <x:v>2970333</x:v>
      </x:c>
      <x:c r="J15" s="14" t="n">
        <x:f>SUMIFS(Budget!$D$2:$D$37,Budget!$A$2:$A$37,$A15,Budget!$C$2:$C$37,$B15)</x:f>
        <x:v>21000000</x:v>
      </x:c>
      <x:c r="K15" s="14" t="n">
        <x:f>SUMIFS(Budget!$I$2:$I$37,Budget!$A$2:$A$37,$A15,Budget!$C$2:$C$37,$B15)</x:f>
        <x:v>4173000</x:v>
      </x:c>
      <x:c r="L15" s="10" t="n">
        <x:f>IFERROR(D15/J15,0)</x:f>
        <x:v>0.9137619047619048</x:v>
      </x:c>
      <x:c r="M15" s="10" t="n">
        <x:f>IFERROR(I15/D15,0)</x:f>
        <x:v>0.15479352754182082</x:v>
      </x:c>
    </x:row>
    <x:row r="16">
      <x:c r="A16" t="n">
        <x:v>4</x:v>
      </x:c>
      <x:c r="B16" t="str">
        <x:v>TRN</x:v>
      </x:c>
      <x:c r="C16" t="str">
        <x:v>Q2</x:v>
      </x:c>
      <x:c r="D16" s="14" t="n">
        <x:f>SUMIFS(Transactions!$H$2:$H$2000,Transactions!$B$2:$B$2000,$A16,Transactions!$D$2:$D$2000,$B16)</x:f>
        <x:v>11950000</x:v>
      </x:c>
      <x:c r="E16" s="14" t="n">
        <x:f>SUMIFS(Transactions!$L$2:$L$2000,Transactions!$B$2:$B$2000,$A16,Transactions!$D$2:$D$2000,$B16)</x:f>
        <x:v>2165000</x:v>
      </x:c>
      <x:c r="F16" s="14" t="n">
        <x:f>D16-E16</x:f>
        <x:v>9785000</x:v>
      </x:c>
      <x:c r="G16" s="14" t="n">
        <x:f>SUMIFS(MonthlyCosts!$F$2:$F$49,MonthlyCosts!$A$2:$A$49,$A16,MonthlyCosts!$C$2:$C$49,$B16)</x:f>
        <x:v>6204000</x:v>
      </x:c>
      <x:c r="H16" s="14" t="n">
        <x:f>IF($B16="TRN",SUMIFS(MonthlyCosts!$F$2:$F$49,MonthlyCosts!$A$2:$A$49,$A16,MonthlyCosts!$C$2:$C$49,"HQ")-ROUND(SUMIFS(MonthlyCosts!$F$2:$F$49,MonthlyCosts!$A$2:$A$49,$A16,MonthlyCosts!$C$2:$C$49,"HQ")*Divisions!$D$2,0)-ROUND(SUMIFS(MonthlyCosts!$F$2:$F$49,MonthlyCosts!$A$2:$A$49,$A16,MonthlyCosts!$C$2:$C$49,"HQ")*Divisions!$D$3,0),ROUND(SUMIFS(MonthlyCosts!$F$2:$F$49,MonthlyCosts!$A$2:$A$49,$A16,MonthlyCosts!$C$2:$C$49,"HQ")*INDEX(Divisions!$D$2:$D$4,MATCH($B16,Divisions!$A$2:$A$4,0)),0))</x:f>
        <x:v>1014444</x:v>
      </x:c>
      <x:c r="I16" s="14" t="n">
        <x:f>F16-G16-H16</x:f>
        <x:v>2566556</x:v>
      </x:c>
      <x:c r="J16" s="14" t="n">
        <x:f>SUMIFS(Budget!$D$2:$D$37,Budget!$A$2:$A$37,$A16,Budget!$C$2:$C$37,$B16)</x:f>
        <x:v>10670000</x:v>
      </x:c>
      <x:c r="K16" s="14" t="n">
        <x:f>SUMIFS(Budget!$I$2:$I$37,Budget!$A$2:$A$37,$A16,Budget!$C$2:$C$37,$B16)</x:f>
        <x:v>1695100</x:v>
      </x:c>
      <x:c r="L16" s="10" t="n">
        <x:f>IFERROR(D16/J16,0)</x:f>
        <x:v>1.119962511715089</x:v>
      </x:c>
      <x:c r="M16" s="10" t="n">
        <x:f>IFERROR(I16/D16,0)</x:f>
        <x:v>0.21477456066945608</x:v>
      </x:c>
    </x:row>
    <x:row r="17">
      <x:c r="A17" t="n">
        <x:v>5</x:v>
      </x:c>
      <x:c r="B17" t="str">
        <x:v>IT</x:v>
      </x:c>
      <x:c r="C17" t="str">
        <x:v>Q2</x:v>
      </x:c>
      <x:c r="D17" s="14" t="n">
        <x:f>SUMIFS(Transactions!$H$2:$H$2000,Transactions!$B$2:$B$2000,$A17,Transactions!$D$2:$D$2000,$B17)</x:f>
        <x:v>28958000</x:v>
      </x:c>
      <x:c r="E17" s="14" t="n">
        <x:f>SUMIFS(Transactions!$L$2:$L$2000,Transactions!$B$2:$B$2000,$A17,Transactions!$D$2:$D$2000,$B17)</x:f>
        <x:v>10385000</x:v>
      </x:c>
      <x:c r="F17" s="14" t="n">
        <x:f>D17-E17</x:f>
        <x:v>18573000</x:v>
      </x:c>
      <x:c r="G17" s="14" t="n">
        <x:f>SUMIFS(MonthlyCosts!$F$2:$F$49,MonthlyCosts!$A$2:$A$49,$A17,MonthlyCosts!$C$2:$C$49,$B17)</x:f>
        <x:v>13289000</x:v>
      </x:c>
      <x:c r="H17" s="14" t="n">
        <x:f>IF($B17="TRN",SUMIFS(MonthlyCosts!$F$2:$F$49,MonthlyCosts!$A$2:$A$49,$A17,MonthlyCosts!$C$2:$C$49,"HQ")-ROUND(SUMIFS(MonthlyCosts!$F$2:$F$49,MonthlyCosts!$A$2:$A$49,$A17,MonthlyCosts!$C$2:$C$49,"HQ")*Divisions!$D$2,0)-ROUND(SUMIFS(MonthlyCosts!$F$2:$F$49,MonthlyCosts!$A$2:$A$49,$A17,MonthlyCosts!$C$2:$C$49,"HQ")*Divisions!$D$3,0),ROUND(SUMIFS(MonthlyCosts!$F$2:$F$49,MonthlyCosts!$A$2:$A$49,$A17,MonthlyCosts!$C$2:$C$49,"HQ")*INDEX(Divisions!$D$2:$D$4,MATCH($B17,Divisions!$A$2:$A$4,0)),0))</x:f>
        <x:v>2031111</x:v>
      </x:c>
      <x:c r="I17" s="14" t="n">
        <x:f>F17-G17-H17</x:f>
        <x:v>3252889</x:v>
      </x:c>
      <x:c r="J17" s="14" t="n">
        <x:f>SUMIFS(Budget!$D$2:$D$37,Budget!$A$2:$A$37,$A17,Budget!$C$2:$C$37,$B17)</x:f>
        <x:v>27810000</x:v>
      </x:c>
      <x:c r="K17" s="14" t="n">
        <x:f>SUMIFS(Budget!$I$2:$I$37,Budget!$A$2:$A$37,$A17,Budget!$C$2:$C$37,$B17)</x:f>
        <x:v>2904500</x:v>
      </x:c>
      <x:c r="L17" s="10" t="n">
        <x:f>IFERROR(D17/J17,0)</x:f>
        <x:v>1.0412801150665227</x:v>
      </x:c>
      <x:c r="M17" s="10" t="n">
        <x:f>IFERROR(I17/D17,0)</x:f>
        <x:v>0.11233127287796119</x:v>
      </x:c>
    </x:row>
    <x:row r="18">
      <x:c r="A18" t="n">
        <x:v>5</x:v>
      </x:c>
      <x:c r="B18" t="str">
        <x:v>BPO</x:v>
      </x:c>
      <x:c r="C18" t="str">
        <x:v>Q2</x:v>
      </x:c>
      <x:c r="D18" s="14" t="n">
        <x:f>SUMIFS(Transactions!$H$2:$H$2000,Transactions!$B$2:$B$2000,$A18,Transactions!$D$2:$D$2000,$B18)</x:f>
        <x:v>20070000</x:v>
      </x:c>
      <x:c r="E18" s="14" t="n">
        <x:f>SUMIFS(Transactions!$L$2:$L$2000,Transactions!$B$2:$B$2000,$A18,Transactions!$D$2:$D$2000,$B18)</x:f>
        <x:v>5054000</x:v>
      </x:c>
      <x:c r="F18" s="14" t="n">
        <x:f>D18-E18</x:f>
        <x:v>15016000</x:v>
      </x:c>
      <x:c r="G18" s="14" t="n">
        <x:f>SUMIFS(MonthlyCosts!$F$2:$F$49,MonthlyCosts!$A$2:$A$49,$A18,MonthlyCosts!$C$2:$C$49,$B18)</x:f>
        <x:v>9881000</x:v>
      </x:c>
      <x:c r="H18" s="14" t="n">
        <x:f>IF($B18="TRN",SUMIFS(MonthlyCosts!$F$2:$F$49,MonthlyCosts!$A$2:$A$49,$A18,MonthlyCosts!$C$2:$C$49,"HQ")-ROUND(SUMIFS(MonthlyCosts!$F$2:$F$49,MonthlyCosts!$A$2:$A$49,$A18,MonthlyCosts!$C$2:$C$49,"HQ")*Divisions!$D$2,0)-ROUND(SUMIFS(MonthlyCosts!$F$2:$F$49,MonthlyCosts!$A$2:$A$49,$A18,MonthlyCosts!$C$2:$C$49,"HQ")*Divisions!$D$3,0),ROUND(SUMIFS(MonthlyCosts!$F$2:$F$49,MonthlyCosts!$A$2:$A$49,$A18,MonthlyCosts!$C$2:$C$49,"HQ")*INDEX(Divisions!$D$2:$D$4,MATCH($B18,Divisions!$A$2:$A$4,0)),0))</x:f>
        <x:v>1523333</x:v>
      </x:c>
      <x:c r="I18" s="14" t="n">
        <x:f>F18-G18-H18</x:f>
        <x:v>3611667</x:v>
      </x:c>
      <x:c r="J18" s="14" t="n">
        <x:f>SUMIFS(Budget!$D$2:$D$37,Budget!$A$2:$A$37,$A18,Budget!$C$2:$C$37,$B18)</x:f>
        <x:v>21000000</x:v>
      </x:c>
      <x:c r="K18" s="14" t="n">
        <x:f>SUMIFS(Budget!$I$2:$I$37,Budget!$A$2:$A$37,$A18,Budget!$C$2:$C$37,$B18)</x:f>
        <x:v>4173000</x:v>
      </x:c>
      <x:c r="L18" s="10" t="n">
        <x:f>IFERROR(D18/J18,0)</x:f>
        <x:v>0.9557142857142857</x:v>
      </x:c>
      <x:c r="M18" s="10" t="n">
        <x:f>IFERROR(I18/D18,0)</x:f>
        <x:v>0.17995351270553064</x:v>
      </x:c>
    </x:row>
    <x:row r="19">
      <x:c r="A19" t="n">
        <x:v>5</x:v>
      </x:c>
      <x:c r="B19" t="str">
        <x:v>TRN</x:v>
      </x:c>
      <x:c r="C19" t="str">
        <x:v>Q2</x:v>
      </x:c>
      <x:c r="D19" s="14" t="n">
        <x:f>SUMIFS(Transactions!$H$2:$H$2000,Transactions!$B$2:$B$2000,$A19,Transactions!$D$2:$D$2000,$B19)</x:f>
        <x:v>14035000</x:v>
      </x:c>
      <x:c r="E19" s="14" t="n">
        <x:f>SUMIFS(Transactions!$L$2:$L$2000,Transactions!$B$2:$B$2000,$A19,Transactions!$D$2:$D$2000,$B19)</x:f>
        <x:v>2527000</x:v>
      </x:c>
      <x:c r="F19" s="14" t="n">
        <x:f>D19-E19</x:f>
        <x:v>11508000</x:v>
      </x:c>
      <x:c r="G19" s="14" t="n">
        <x:f>SUMIFS(MonthlyCosts!$F$2:$F$49,MonthlyCosts!$A$2:$A$49,$A19,MonthlyCosts!$C$2:$C$49,$B19)</x:f>
        <x:v>6212000</x:v>
      </x:c>
      <x:c r="H19" s="14" t="n">
        <x:f>IF($B19="TRN",SUMIFS(MonthlyCosts!$F$2:$F$49,MonthlyCosts!$A$2:$A$49,$A19,MonthlyCosts!$C$2:$C$49,"HQ")-ROUND(SUMIFS(MonthlyCosts!$F$2:$F$49,MonthlyCosts!$A$2:$A$49,$A19,MonthlyCosts!$C$2:$C$49,"HQ")*Divisions!$D$2,0)-ROUND(SUMIFS(MonthlyCosts!$F$2:$F$49,MonthlyCosts!$A$2:$A$49,$A19,MonthlyCosts!$C$2:$C$49,"HQ")*Divisions!$D$3,0),ROUND(SUMIFS(MonthlyCosts!$F$2:$F$49,MonthlyCosts!$A$2:$A$49,$A19,MonthlyCosts!$C$2:$C$49,"HQ")*INDEX(Divisions!$D$2:$D$4,MATCH($B19,Divisions!$A$2:$A$4,0)),0))</x:f>
        <x:v>1015556</x:v>
      </x:c>
      <x:c r="I19" s="14" t="n">
        <x:f>F19-G19-H19</x:f>
        <x:v>4280444</x:v>
      </x:c>
      <x:c r="J19" s="14" t="n">
        <x:f>SUMIFS(Budget!$D$2:$D$37,Budget!$A$2:$A$37,$A19,Budget!$C$2:$C$37,$B19)</x:f>
        <x:v>10767000</x:v>
      </x:c>
      <x:c r="K19" s="14" t="n">
        <x:f>SUMIFS(Budget!$I$2:$I$37,Budget!$A$2:$A$37,$A19,Budget!$C$2:$C$37,$B19)</x:f>
        <x:v>1775610</x:v>
      </x:c>
      <x:c r="L19" s="10" t="n">
        <x:f>IFERROR(D19/J19,0)</x:f>
        <x:v>1.303520014860221</x:v>
      </x:c>
      <x:c r="M19" s="10" t="n">
        <x:f>IFERROR(I19/D19,0)</x:f>
        <x:v>0.30498354114713216</x:v>
      </x:c>
    </x:row>
    <x:row r="20">
      <x:c r="A20" t="n">
        <x:v>6</x:v>
      </x:c>
      <x:c r="B20" t="str">
        <x:v>IT</x:v>
      </x:c>
      <x:c r="C20" t="str">
        <x:v>Q2</x:v>
      </x:c>
      <x:c r="D20" s="14" t="n">
        <x:f>SUMIFS(Transactions!$H$2:$H$2000,Transactions!$B$2:$B$2000,$A20,Transactions!$D$2:$D$2000,$B20)</x:f>
        <x:v>24297000</x:v>
      </x:c>
      <x:c r="E20" s="14" t="n">
        <x:f>SUMIFS(Transactions!$L$2:$L$2000,Transactions!$B$2:$B$2000,$A20,Transactions!$D$2:$D$2000,$B20)</x:f>
        <x:v>8592000</x:v>
      </x:c>
      <x:c r="F20" s="14" t="n">
        <x:f>D20-E20</x:f>
        <x:v>15705000</x:v>
      </x:c>
      <x:c r="G20" s="14" t="n">
        <x:f>SUMIFS(MonthlyCosts!$F$2:$F$49,MonthlyCosts!$A$2:$A$49,$A20,MonthlyCosts!$C$2:$C$49,$B20)</x:f>
        <x:v>13306000</x:v>
      </x:c>
      <x:c r="H20" s="14" t="n">
        <x:f>IF($B20="TRN",SUMIFS(MonthlyCosts!$F$2:$F$49,MonthlyCosts!$A$2:$A$49,$A20,MonthlyCosts!$C$2:$C$49,"HQ")-ROUND(SUMIFS(MonthlyCosts!$F$2:$F$49,MonthlyCosts!$A$2:$A$49,$A20,MonthlyCosts!$C$2:$C$49,"HQ")*Divisions!$D$2,0)-ROUND(SUMIFS(MonthlyCosts!$F$2:$F$49,MonthlyCosts!$A$2:$A$49,$A20,MonthlyCosts!$C$2:$C$49,"HQ")*Divisions!$D$3,0),ROUND(SUMIFS(MonthlyCosts!$F$2:$F$49,MonthlyCosts!$A$2:$A$49,$A20,MonthlyCosts!$C$2:$C$49,"HQ")*INDEX(Divisions!$D$2:$D$4,MATCH($B20,Divisions!$A$2:$A$4,0)),0))</x:f>
        <x:v>2033778</x:v>
      </x:c>
      <x:c r="I20" s="14" t="n">
        <x:f>F20-G20-H20</x:f>
        <x:v>365222</x:v>
      </x:c>
      <x:c r="J20" s="14" t="n">
        <x:f>SUMIFS(Budget!$D$2:$D$37,Budget!$A$2:$A$37,$A20,Budget!$C$2:$C$37,$B20)</x:f>
        <x:v>27000000</x:v>
      </x:c>
      <x:c r="K20" s="14" t="n">
        <x:f>SUMIFS(Budget!$I$2:$I$37,Budget!$A$2:$A$37,$A20,Budget!$C$2:$C$37,$B20)</x:f>
        <x:v>2378000</x:v>
      </x:c>
      <x:c r="L20" s="10" t="n">
        <x:f>IFERROR(D20/J20,0)</x:f>
        <x:v>0.8998888888888888</x:v>
      </x:c>
      <x:c r="M20" s="10" t="n">
        <x:f>IFERROR(I20/D20,0)</x:f>
        <x:v>0.015031567683253077</x:v>
      </x:c>
    </x:row>
    <x:row r="21">
      <x:c r="A21" t="n">
        <x:v>6</x:v>
      </x:c>
      <x:c r="B21" t="str">
        <x:v>BPO</x:v>
      </x:c>
      <x:c r="C21" t="str">
        <x:v>Q2</x:v>
      </x:c>
      <x:c r="D21" s="14" t="n">
        <x:f>SUMIFS(Transactions!$H$2:$H$2000,Transactions!$B$2:$B$2000,$A21,Transactions!$D$2:$D$2000,$B21)</x:f>
        <x:v>20945000</x:v>
      </x:c>
      <x:c r="E21" s="14" t="n">
        <x:f>SUMIFS(Transactions!$L$2:$L$2000,Transactions!$B$2:$B$2000,$A21,Transactions!$D$2:$D$2000,$B21)</x:f>
        <x:v>5125000</x:v>
      </x:c>
      <x:c r="F21" s="14" t="n">
        <x:f>D21-E21</x:f>
        <x:v>15820000</x:v>
      </x:c>
      <x:c r="G21" s="14" t="n">
        <x:f>SUMIFS(MonthlyCosts!$F$2:$F$49,MonthlyCosts!$A$2:$A$49,$A21,MonthlyCosts!$C$2:$C$49,$B21)</x:f>
        <x:v>9893000</x:v>
      </x:c>
      <x:c r="H21" s="14" t="n">
        <x:f>IF($B21="TRN",SUMIFS(MonthlyCosts!$F$2:$F$49,MonthlyCosts!$A$2:$A$49,$A21,MonthlyCosts!$C$2:$C$49,"HQ")-ROUND(SUMIFS(MonthlyCosts!$F$2:$F$49,MonthlyCosts!$A$2:$A$49,$A21,MonthlyCosts!$C$2:$C$49,"HQ")*Divisions!$D$2,0)-ROUND(SUMIFS(MonthlyCosts!$F$2:$F$49,MonthlyCosts!$A$2:$A$49,$A21,MonthlyCosts!$C$2:$C$49,"HQ")*Divisions!$D$3,0),ROUND(SUMIFS(MonthlyCosts!$F$2:$F$49,MonthlyCosts!$A$2:$A$49,$A21,MonthlyCosts!$C$2:$C$49,"HQ")*INDEX(Divisions!$D$2:$D$4,MATCH($B21,Divisions!$A$2:$A$4,0)),0))</x:f>
        <x:v>1525333</x:v>
      </x:c>
      <x:c r="I21" s="14" t="n">
        <x:f>F21-G21-H21</x:f>
        <x:v>4401667</x:v>
      </x:c>
      <x:c r="J21" s="14" t="n">
        <x:f>SUMIFS(Budget!$D$2:$D$37,Budget!$A$2:$A$37,$A21,Budget!$C$2:$C$37,$B21)</x:f>
        <x:v>21000000</x:v>
      </x:c>
      <x:c r="K21" s="14" t="n">
        <x:f>SUMIFS(Budget!$I$2:$I$37,Budget!$A$2:$A$37,$A21,Budget!$C$2:$C$37,$B21)</x:f>
        <x:v>4173000</x:v>
      </x:c>
      <x:c r="L21" s="10" t="n">
        <x:f>IFERROR(D21/J21,0)</x:f>
        <x:v>0.9973809523809524</x:v>
      </x:c>
      <x:c r="M21" s="10" t="n">
        <x:f>IFERROR(I21/D21,0)</x:f>
        <x:v>0.21015359274289808</x:v>
      </x:c>
    </x:row>
    <x:row r="22">
      <x:c r="A22" t="n">
        <x:v>6</x:v>
      </x:c>
      <x:c r="B22" t="str">
        <x:v>TRN</x:v>
      </x:c>
      <x:c r="C22" t="str">
        <x:v>Q2</x:v>
      </x:c>
      <x:c r="D22" s="14" t="n">
        <x:f>SUMIFS(Transactions!$H$2:$H$2000,Transactions!$B$2:$B$2000,$A22,Transactions!$D$2:$D$2000,$B22)</x:f>
        <x:v>6513000</x:v>
      </x:c>
      <x:c r="E22" s="14" t="n">
        <x:f>SUMIFS(Transactions!$L$2:$L$2000,Transactions!$B$2:$B$2000,$A22,Transactions!$D$2:$D$2000,$B22)</x:f>
        <x:v>1111000</x:v>
      </x:c>
      <x:c r="F22" s="14" t="n">
        <x:f>D22-E22</x:f>
        <x:v>5402000</x:v>
      </x:c>
      <x:c r="G22" s="14" t="n">
        <x:f>SUMIFS(MonthlyCosts!$F$2:$F$49,MonthlyCosts!$A$2:$A$49,$A22,MonthlyCosts!$C$2:$C$49,$B22)</x:f>
        <x:v>6219000</x:v>
      </x:c>
      <x:c r="H22" s="14" t="n">
        <x:f>IF($B22="TRN",SUMIFS(MonthlyCosts!$F$2:$F$49,MonthlyCosts!$A$2:$A$49,$A22,MonthlyCosts!$C$2:$C$49,"HQ")-ROUND(SUMIFS(MonthlyCosts!$F$2:$F$49,MonthlyCosts!$A$2:$A$49,$A22,MonthlyCosts!$C$2:$C$49,"HQ")*Divisions!$D$2,0)-ROUND(SUMIFS(MonthlyCosts!$F$2:$F$49,MonthlyCosts!$A$2:$A$49,$A22,MonthlyCosts!$C$2:$C$49,"HQ")*Divisions!$D$3,0),ROUND(SUMIFS(MonthlyCosts!$F$2:$F$49,MonthlyCosts!$A$2:$A$49,$A22,MonthlyCosts!$C$2:$C$49,"HQ")*INDEX(Divisions!$D$2:$D$4,MATCH($B22,Divisions!$A$2:$A$4,0)),0))</x:f>
        <x:v>1016889</x:v>
      </x:c>
      <x:c r="I22" s="14" t="n">
        <x:f>F22-G22-H22</x:f>
        <x:v>-1833889</x:v>
      </x:c>
      <x:c r="J22" s="14" t="n">
        <x:f>SUMIFS(Budget!$D$2:$D$37,Budget!$A$2:$A$37,$A22,Budget!$C$2:$C$37,$B22)</x:f>
        <x:v>9118000</x:v>
      </x:c>
      <x:c r="K22" s="14" t="n">
        <x:f>SUMIFS(Budget!$I$2:$I$37,Budget!$A$2:$A$37,$A22,Budget!$C$2:$C$37,$B22)</x:f>
        <x:v>406940</x:v>
      </x:c>
      <x:c r="L22" s="10" t="n">
        <x:f>IFERROR(D22/J22,0)</x:f>
        <x:v>0.7143013818819917</x:v>
      </x:c>
      <x:c r="M22" s="10" t="n">
        <x:f>IFERROR(I22/D22,0)</x:f>
        <x:v>-0.28157362198679564</x:v>
      </x:c>
    </x:row>
    <x:row r="23">
      <x:c r="A23" t="n">
        <x:v>7</x:v>
      </x:c>
      <x:c r="B23" t="str">
        <x:v>IT</x:v>
      </x:c>
      <x:c r="C23" t="str">
        <x:v>Q3</x:v>
      </x:c>
      <x:c r="D23" s="14" t="n">
        <x:f>SUMIFS(Transactions!$H$2:$H$2000,Transactions!$B$2:$B$2000,$A23,Transactions!$D$2:$D$2000,$B23)</x:f>
        <x:v>21948000</x:v>
      </x:c>
      <x:c r="E23" s="14" t="n">
        <x:f>SUMIFS(Transactions!$L$2:$L$2000,Transactions!$B$2:$B$2000,$A23,Transactions!$D$2:$D$2000,$B23)</x:f>
        <x:v>7927000</x:v>
      </x:c>
      <x:c r="F23" s="14" t="n">
        <x:f>D23-E23</x:f>
        <x:v>14021000</x:v>
      </x:c>
      <x:c r="G23" s="14" t="n">
        <x:f>SUMIFS(MonthlyCosts!$F$2:$F$49,MonthlyCosts!$A$2:$A$49,$A23,MonthlyCosts!$C$2:$C$49,$B23)</x:f>
        <x:v>13323000</x:v>
      </x:c>
      <x:c r="H23" s="14" t="n">
        <x:f>IF($B23="TRN",SUMIFS(MonthlyCosts!$F$2:$F$49,MonthlyCosts!$A$2:$A$49,$A23,MonthlyCosts!$C$2:$C$49,"HQ")-ROUND(SUMIFS(MonthlyCosts!$F$2:$F$49,MonthlyCosts!$A$2:$A$49,$A23,MonthlyCosts!$C$2:$C$49,"HQ")*Divisions!$D$2,0)-ROUND(SUMIFS(MonthlyCosts!$F$2:$F$49,MonthlyCosts!$A$2:$A$49,$A23,MonthlyCosts!$C$2:$C$49,"HQ")*Divisions!$D$3,0),ROUND(SUMIFS(MonthlyCosts!$F$2:$F$49,MonthlyCosts!$A$2:$A$49,$A23,MonthlyCosts!$C$2:$C$49,"HQ")*INDEX(Divisions!$D$2:$D$4,MATCH($B23,Divisions!$A$2:$A$4,0)),0))</x:f>
        <x:v>2036000</x:v>
      </x:c>
      <x:c r="I23" s="14" t="n">
        <x:f>F23-G23-H23</x:f>
        <x:v>-1338000</x:v>
      </x:c>
      <x:c r="J23" s="14" t="n">
        <x:f>SUMIFS(Budget!$D$2:$D$37,Budget!$A$2:$A$37,$A23,Budget!$C$2:$C$37,$B23)</x:f>
        <x:v>27000000</x:v>
      </x:c>
      <x:c r="K23" s="14" t="n">
        <x:f>SUMIFS(Budget!$I$2:$I$37,Budget!$A$2:$A$37,$A23,Budget!$C$2:$C$37,$B23)</x:f>
        <x:v>2378000</x:v>
      </x:c>
      <x:c r="L23" s="10" t="n">
        <x:f>IFERROR(D23/J23,0)</x:f>
        <x:v>0.8128888888888889</x:v>
      </x:c>
      <x:c r="M23" s="10" t="n">
        <x:f>IFERROR(I23/D23,0)</x:f>
        <x:v>-0.06096227446692182</x:v>
      </x:c>
    </x:row>
    <x:row r="24">
      <x:c r="A24" t="n">
        <x:v>7</x:v>
      </x:c>
      <x:c r="B24" t="str">
        <x:v>BPO</x:v>
      </x:c>
      <x:c r="C24" t="str">
        <x:v>Q3</x:v>
      </x:c>
      <x:c r="D24" s="14" t="n">
        <x:f>SUMIFS(Transactions!$H$2:$H$2000,Transactions!$B$2:$B$2000,$A24,Transactions!$D$2:$D$2000,$B24)</x:f>
        <x:v>20214000</x:v>
      </x:c>
      <x:c r="E24" s="14" t="n">
        <x:f>SUMIFS(Transactions!$L$2:$L$2000,Transactions!$B$2:$B$2000,$A24,Transactions!$D$2:$D$2000,$B24)</x:f>
        <x:v>6128000</x:v>
      </x:c>
      <x:c r="F24" s="14" t="n">
        <x:f>D24-E24</x:f>
        <x:v>14086000</x:v>
      </x:c>
      <x:c r="G24" s="14" t="n">
        <x:f>SUMIFS(MonthlyCosts!$F$2:$F$49,MonthlyCosts!$A$2:$A$49,$A24,MonthlyCosts!$C$2:$C$49,$B24)</x:f>
        <x:v>9906000</x:v>
      </x:c>
      <x:c r="H24" s="14" t="n">
        <x:f>IF($B24="TRN",SUMIFS(MonthlyCosts!$F$2:$F$49,MonthlyCosts!$A$2:$A$49,$A24,MonthlyCosts!$C$2:$C$49,"HQ")-ROUND(SUMIFS(MonthlyCosts!$F$2:$F$49,MonthlyCosts!$A$2:$A$49,$A24,MonthlyCosts!$C$2:$C$49,"HQ")*Divisions!$D$2,0)-ROUND(SUMIFS(MonthlyCosts!$F$2:$F$49,MonthlyCosts!$A$2:$A$49,$A24,MonthlyCosts!$C$2:$C$49,"HQ")*Divisions!$D$3,0),ROUND(SUMIFS(MonthlyCosts!$F$2:$F$49,MonthlyCosts!$A$2:$A$49,$A24,MonthlyCosts!$C$2:$C$49,"HQ")*INDEX(Divisions!$D$2:$D$4,MATCH($B24,Divisions!$A$2:$A$4,0)),0))</x:f>
        <x:v>1527000</x:v>
      </x:c>
      <x:c r="I24" s="14" t="n">
        <x:f>F24-G24-H24</x:f>
        <x:v>2653000</x:v>
      </x:c>
      <x:c r="J24" s="14" t="n">
        <x:f>SUMIFS(Budget!$D$2:$D$37,Budget!$A$2:$A$37,$A24,Budget!$C$2:$C$37,$B24)</x:f>
        <x:v>21000000</x:v>
      </x:c>
      <x:c r="K24" s="14" t="n">
        <x:f>SUMIFS(Budget!$I$2:$I$37,Budget!$A$2:$A$37,$A24,Budget!$C$2:$C$37,$B24)</x:f>
        <x:v>4173000</x:v>
      </x:c>
      <x:c r="L24" s="10" t="n">
        <x:f>IFERROR(D24/J24,0)</x:f>
        <x:v>0.9625714285714285</x:v>
      </x:c>
      <x:c r="M24" s="10" t="n">
        <x:f>IFERROR(I24/D24,0)</x:f>
        <x:v>0.13124567131690906</x:v>
      </x:c>
    </x:row>
    <x:row r="25">
      <x:c r="A25" t="n">
        <x:v>7</x:v>
      </x:c>
      <x:c r="B25" t="str">
        <x:v>TRN</x:v>
      </x:c>
      <x:c r="C25" t="str">
        <x:v>Q3</x:v>
      </x:c>
      <x:c r="D25" s="14" t="n">
        <x:f>SUMIFS(Transactions!$H$2:$H$2000,Transactions!$B$2:$B$2000,$A25,Transactions!$D$2:$D$2000,$B25)</x:f>
        <x:v>5864000</x:v>
      </x:c>
      <x:c r="E25" s="14" t="n">
        <x:f>SUMIFS(Transactions!$L$2:$L$2000,Transactions!$B$2:$B$2000,$A25,Transactions!$D$2:$D$2000,$B25)</x:f>
        <x:v>1099000</x:v>
      </x:c>
      <x:c r="F25" s="14" t="n">
        <x:f>D25-E25</x:f>
        <x:v>4765000</x:v>
      </x:c>
      <x:c r="G25" s="14" t="n">
        <x:f>SUMIFS(MonthlyCosts!$F$2:$F$49,MonthlyCosts!$A$2:$A$49,$A25,MonthlyCosts!$C$2:$C$49,$B25)</x:f>
        <x:v>6227000</x:v>
      </x:c>
      <x:c r="H25" s="14" t="n">
        <x:f>IF($B25="TRN",SUMIFS(MonthlyCosts!$F$2:$F$49,MonthlyCosts!$A$2:$A$49,$A25,MonthlyCosts!$C$2:$C$49,"HQ")-ROUND(SUMIFS(MonthlyCosts!$F$2:$F$49,MonthlyCosts!$A$2:$A$49,$A25,MonthlyCosts!$C$2:$C$49,"HQ")*Divisions!$D$2,0)-ROUND(SUMIFS(MonthlyCosts!$F$2:$F$49,MonthlyCosts!$A$2:$A$49,$A25,MonthlyCosts!$C$2:$C$49,"HQ")*Divisions!$D$3,0),ROUND(SUMIFS(MonthlyCosts!$F$2:$F$49,MonthlyCosts!$A$2:$A$49,$A25,MonthlyCosts!$C$2:$C$49,"HQ")*INDEX(Divisions!$D$2:$D$4,MATCH($B25,Divisions!$A$2:$A$4,0)),0))</x:f>
        <x:v>1018000</x:v>
      </x:c>
      <x:c r="I25" s="14" t="n">
        <x:f>F25-G25-H25</x:f>
        <x:v>-2480000</x:v>
      </x:c>
      <x:c r="J25" s="14" t="n">
        <x:f>SUMIFS(Budget!$D$2:$D$37,Budget!$A$2:$A$37,$A25,Budget!$C$2:$C$37,$B25)</x:f>
        <x:v>9409000</x:v>
      </x:c>
      <x:c r="K25" s="14" t="n">
        <x:f>SUMIFS(Budget!$I$2:$I$37,Budget!$A$2:$A$37,$A25,Budget!$C$2:$C$37,$B25)</x:f>
        <x:v>648470</x:v>
      </x:c>
      <x:c r="L25" s="10" t="n">
        <x:f>IFERROR(D25/J25,0)</x:f>
        <x:v>0.6232330747156978</x:v>
      </x:c>
      <x:c r="M25" s="10" t="n">
        <x:f>IFERROR(I25/D25,0)</x:f>
        <x:v>-0.4229195088676671</x:v>
      </x:c>
    </x:row>
    <x:row r="26">
      <x:c r="A26" t="n">
        <x:v>8</x:v>
      </x:c>
      <x:c r="B26" t="str">
        <x:v>IT</x:v>
      </x:c>
      <x:c r="C26" t="str">
        <x:v>Q3</x:v>
      </x:c>
      <x:c r="D26" s="14" t="n">
        <x:f>SUMIFS(Transactions!$H$2:$H$2000,Transactions!$B$2:$B$2000,$A26,Transactions!$D$2:$D$2000,$B26)</x:f>
        <x:v>23686000</x:v>
      </x:c>
      <x:c r="E26" s="14" t="n">
        <x:f>SUMIFS(Transactions!$L$2:$L$2000,Transactions!$B$2:$B$2000,$A26,Transactions!$D$2:$D$2000,$B26)</x:f>
        <x:v>8403000</x:v>
      </x:c>
      <x:c r="F26" s="14" t="n">
        <x:f>D26-E26</x:f>
        <x:v>15283000</x:v>
      </x:c>
      <x:c r="G26" s="14" t="n">
        <x:f>SUMIFS(MonthlyCosts!$F$2:$F$49,MonthlyCosts!$A$2:$A$49,$A26,MonthlyCosts!$C$2:$C$49,$B26)</x:f>
        <x:v>13341000</x:v>
      </x:c>
      <x:c r="H26" s="14" t="n">
        <x:f>IF($B26="TRN",SUMIFS(MonthlyCosts!$F$2:$F$49,MonthlyCosts!$A$2:$A$49,$A26,MonthlyCosts!$C$2:$C$49,"HQ")-ROUND(SUMIFS(MonthlyCosts!$F$2:$F$49,MonthlyCosts!$A$2:$A$49,$A26,MonthlyCosts!$C$2:$C$49,"HQ")*Divisions!$D$2,0)-ROUND(SUMIFS(MonthlyCosts!$F$2:$F$49,MonthlyCosts!$A$2:$A$49,$A26,MonthlyCosts!$C$2:$C$49,"HQ")*Divisions!$D$3,0),ROUND(SUMIFS(MonthlyCosts!$F$2:$F$49,MonthlyCosts!$A$2:$A$49,$A26,MonthlyCosts!$C$2:$C$49,"HQ")*INDEX(Divisions!$D$2:$D$4,MATCH($B26,Divisions!$A$2:$A$4,0)),0))</x:f>
        <x:v>2038222</x:v>
      </x:c>
      <x:c r="I26" s="14" t="n">
        <x:f>F26-G26-H26</x:f>
        <x:v>-96222</x:v>
      </x:c>
      <x:c r="J26" s="14" t="n">
        <x:f>SUMIFS(Budget!$D$2:$D$37,Budget!$A$2:$A$37,$A26,Budget!$C$2:$C$37,$B26)</x:f>
        <x:v>27000000</x:v>
      </x:c>
      <x:c r="K26" s="14" t="n">
        <x:f>SUMIFS(Budget!$I$2:$I$37,Budget!$A$2:$A$37,$A26,Budget!$C$2:$C$37,$B26)</x:f>
        <x:v>2378000</x:v>
      </x:c>
      <x:c r="L26" s="10" t="n">
        <x:f>IFERROR(D26/J26,0)</x:f>
        <x:v>0.8772592592592593</x:v>
      </x:c>
      <x:c r="M26" s="10" t="n">
        <x:f>IFERROR(I26/D26,0)</x:f>
        <x:v>-0.004062399729798193</x:v>
      </x:c>
    </x:row>
    <x:row r="27">
      <x:c r="A27" t="n">
        <x:v>8</x:v>
      </x:c>
      <x:c r="B27" t="str">
        <x:v>BPO</x:v>
      </x:c>
      <x:c r="C27" t="str">
        <x:v>Q3</x:v>
      </x:c>
      <x:c r="D27" s="14" t="n">
        <x:f>SUMIFS(Transactions!$H$2:$H$2000,Transactions!$B$2:$B$2000,$A27,Transactions!$D$2:$D$2000,$B27)</x:f>
        <x:v>21500000</x:v>
      </x:c>
      <x:c r="E27" s="14" t="n">
        <x:f>SUMIFS(Transactions!$L$2:$L$2000,Transactions!$B$2:$B$2000,$A27,Transactions!$D$2:$D$2000,$B27)</x:f>
        <x:v>6517000</x:v>
      </x:c>
      <x:c r="F27" s="14" t="n">
        <x:f>D27-E27</x:f>
        <x:v>14983000</x:v>
      </x:c>
      <x:c r="G27" s="14" t="n">
        <x:f>SUMIFS(MonthlyCosts!$F$2:$F$49,MonthlyCosts!$A$2:$A$49,$A27,MonthlyCosts!$C$2:$C$49,$B27)</x:f>
        <x:v>9919000</x:v>
      </x:c>
      <x:c r="H27" s="14" t="n">
        <x:f>IF($B27="TRN",SUMIFS(MonthlyCosts!$F$2:$F$49,MonthlyCosts!$A$2:$A$49,$A27,MonthlyCosts!$C$2:$C$49,"HQ")-ROUND(SUMIFS(MonthlyCosts!$F$2:$F$49,MonthlyCosts!$A$2:$A$49,$A27,MonthlyCosts!$C$2:$C$49,"HQ")*Divisions!$D$2,0)-ROUND(SUMIFS(MonthlyCosts!$F$2:$F$49,MonthlyCosts!$A$2:$A$49,$A27,MonthlyCosts!$C$2:$C$49,"HQ")*Divisions!$D$3,0),ROUND(SUMIFS(MonthlyCosts!$F$2:$F$49,MonthlyCosts!$A$2:$A$49,$A27,MonthlyCosts!$C$2:$C$49,"HQ")*INDEX(Divisions!$D$2:$D$4,MATCH($B27,Divisions!$A$2:$A$4,0)),0))</x:f>
        <x:v>1528667</x:v>
      </x:c>
      <x:c r="I27" s="14" t="n">
        <x:f>F27-G27-H27</x:f>
        <x:v>3535333</x:v>
      </x:c>
      <x:c r="J27" s="14" t="n">
        <x:f>SUMIFS(Budget!$D$2:$D$37,Budget!$A$2:$A$37,$A27,Budget!$C$2:$C$37,$B27)</x:f>
        <x:v>21000000</x:v>
      </x:c>
      <x:c r="K27" s="14" t="n">
        <x:f>SUMIFS(Budget!$I$2:$I$37,Budget!$A$2:$A$37,$A27,Budget!$C$2:$C$37,$B27)</x:f>
        <x:v>4173000</x:v>
      </x:c>
      <x:c r="L27" s="10" t="n">
        <x:f>IFERROR(D27/J27,0)</x:f>
        <x:v>1.0238095238095237</x:v>
      </x:c>
      <x:c r="M27" s="10" t="n">
        <x:f>IFERROR(I27/D27,0)</x:f>
        <x:v>0.16443409302325582</x:v>
      </x:c>
    </x:row>
    <x:row r="28">
      <x:c r="A28" t="n">
        <x:v>8</x:v>
      </x:c>
      <x:c r="B28" t="str">
        <x:v>TRN</x:v>
      </x:c>
      <x:c r="C28" t="str">
        <x:v>Q3</x:v>
      </x:c>
      <x:c r="D28" s="14" t="n">
        <x:f>SUMIFS(Transactions!$H$2:$H$2000,Transactions!$B$2:$B$2000,$A28,Transactions!$D$2:$D$2000,$B28)</x:f>
        <x:v>5107000</x:v>
      </x:c>
      <x:c r="E28" s="14" t="n">
        <x:f>SUMIFS(Transactions!$L$2:$L$2000,Transactions!$B$2:$B$2000,$A28,Transactions!$D$2:$D$2000,$B28)</x:f>
        <x:v>892000</x:v>
      </x:c>
      <x:c r="F28" s="14" t="n">
        <x:f>D28-E28</x:f>
        <x:v>4215000</x:v>
      </x:c>
      <x:c r="G28" s="14" t="n">
        <x:f>SUMIFS(MonthlyCosts!$F$2:$F$49,MonthlyCosts!$A$2:$A$49,$A28,MonthlyCosts!$C$2:$C$49,$B28)</x:f>
        <x:v>6235000</x:v>
      </x:c>
      <x:c r="H28" s="14" t="n">
        <x:f>IF($B28="TRN",SUMIFS(MonthlyCosts!$F$2:$F$49,MonthlyCosts!$A$2:$A$49,$A28,MonthlyCosts!$C$2:$C$49,"HQ")-ROUND(SUMIFS(MonthlyCosts!$F$2:$F$49,MonthlyCosts!$A$2:$A$49,$A28,MonthlyCosts!$C$2:$C$49,"HQ")*Divisions!$D$2,0)-ROUND(SUMIFS(MonthlyCosts!$F$2:$F$49,MonthlyCosts!$A$2:$A$49,$A28,MonthlyCosts!$C$2:$C$49,"HQ")*Divisions!$D$3,0),ROUND(SUMIFS(MonthlyCosts!$F$2:$F$49,MonthlyCosts!$A$2:$A$49,$A28,MonthlyCosts!$C$2:$C$49,"HQ")*INDEX(Divisions!$D$2:$D$4,MATCH($B28,Divisions!$A$2:$A$4,0)),0))</x:f>
        <x:v>1019111</x:v>
      </x:c>
      <x:c r="I28" s="14" t="n">
        <x:f>F28-G28-H28</x:f>
        <x:v>-3039111</x:v>
      </x:c>
      <x:c r="J28" s="14" t="n">
        <x:f>SUMIFS(Budget!$D$2:$D$37,Budget!$A$2:$A$37,$A28,Budget!$C$2:$C$37,$B28)</x:f>
        <x:v>9603000</x:v>
      </x:c>
      <x:c r="K28" s="14" t="n">
        <x:f>SUMIFS(Budget!$I$2:$I$37,Budget!$A$2:$A$37,$A28,Budget!$C$2:$C$37,$B28)</x:f>
        <x:v>809490</x:v>
      </x:c>
      <x:c r="L28" s="10" t="n">
        <x:f>IFERROR(D28/J28,0)</x:f>
        <x:v>0.5318129751119441</x:v>
      </x:c>
      <x:c r="M28" s="10" t="n">
        <x:f>IFERROR(I28/D28,0)</x:f>
        <x:v>-0.595087331114157</x:v>
      </x:c>
    </x:row>
    <x:row r="29">
      <x:c r="A29" t="n">
        <x:v>9</x:v>
      </x:c>
      <x:c r="B29" t="str">
        <x:v>IT</x:v>
      </x:c>
      <x:c r="C29" t="str">
        <x:v>Q3</x:v>
      </x:c>
      <x:c r="D29" s="14" t="n">
        <x:f>SUMIFS(Transactions!$H$2:$H$2000,Transactions!$B$2:$B$2000,$A29,Transactions!$D$2:$D$2000,$B29)</x:f>
        <x:v>27518000</x:v>
      </x:c>
      <x:c r="E29" s="14" t="n">
        <x:f>SUMIFS(Transactions!$L$2:$L$2000,Transactions!$B$2:$B$2000,$A29,Transactions!$D$2:$D$2000,$B29)</x:f>
        <x:v>9942000</x:v>
      </x:c>
      <x:c r="F29" s="14" t="n">
        <x:f>D29-E29</x:f>
        <x:v>17576000</x:v>
      </x:c>
      <x:c r="G29" s="14" t="n">
        <x:f>SUMIFS(MonthlyCosts!$F$2:$F$49,MonthlyCosts!$A$2:$A$49,$A29,MonthlyCosts!$C$2:$C$49,$B29)</x:f>
        <x:v>13358000</x:v>
      </x:c>
      <x:c r="H29" s="14" t="n">
        <x:f>IF($B29="TRN",SUMIFS(MonthlyCosts!$F$2:$F$49,MonthlyCosts!$A$2:$A$49,$A29,MonthlyCosts!$C$2:$C$49,"HQ")-ROUND(SUMIFS(MonthlyCosts!$F$2:$F$49,MonthlyCosts!$A$2:$A$49,$A29,MonthlyCosts!$C$2:$C$49,"HQ")*Divisions!$D$2,0)-ROUND(SUMIFS(MonthlyCosts!$F$2:$F$49,MonthlyCosts!$A$2:$A$49,$A29,MonthlyCosts!$C$2:$C$49,"HQ")*Divisions!$D$3,0),ROUND(SUMIFS(MonthlyCosts!$F$2:$F$49,MonthlyCosts!$A$2:$A$49,$A29,MonthlyCosts!$C$2:$C$49,"HQ")*INDEX(Divisions!$D$2:$D$4,MATCH($B29,Divisions!$A$2:$A$4,0)),0))</x:f>
        <x:v>2040444</x:v>
      </x:c>
      <x:c r="I29" s="14" t="n">
        <x:f>F29-G29-H29</x:f>
        <x:v>2177556</x:v>
      </x:c>
      <x:c r="J29" s="14" t="n">
        <x:f>SUMIFS(Budget!$D$2:$D$37,Budget!$A$2:$A$37,$A29,Budget!$C$2:$C$37,$B29)</x:f>
        <x:v>28890000</x:v>
      </x:c>
      <x:c r="K29" s="14" t="n">
        <x:f>SUMIFS(Budget!$I$2:$I$37,Budget!$A$2:$A$37,$A29,Budget!$C$2:$C$37,$B29)</x:f>
        <x:v>3606500</x:v>
      </x:c>
      <x:c r="L29" s="10" t="n">
        <x:f>IFERROR(D29/J29,0)</x:f>
        <x:v>0.9525095188646591</x:v>
      </x:c>
      <x:c r="M29" s="10" t="n">
        <x:f>IFERROR(I29/D29,0)</x:f>
        <x:v>0.07913205901591686</x:v>
      </x:c>
    </x:row>
    <x:row r="30">
      <x:c r="A30" t="n">
        <x:v>9</x:v>
      </x:c>
      <x:c r="B30" t="str">
        <x:v>BPO</x:v>
      </x:c>
      <x:c r="C30" t="str">
        <x:v>Q3</x:v>
      </x:c>
      <x:c r="D30" s="14" t="n">
        <x:f>SUMIFS(Transactions!$H$2:$H$2000,Transactions!$B$2:$B$2000,$A30,Transactions!$D$2:$D$2000,$B30)</x:f>
        <x:v>20435000</x:v>
      </x:c>
      <x:c r="E30" s="14" t="n">
        <x:f>SUMIFS(Transactions!$L$2:$L$2000,Transactions!$B$2:$B$2000,$A30,Transactions!$D$2:$D$2000,$B30)</x:f>
        <x:v>6328000</x:v>
      </x:c>
      <x:c r="F30" s="14" t="n">
        <x:f>D30-E30</x:f>
        <x:v>14107000</x:v>
      </x:c>
      <x:c r="G30" s="14" t="n">
        <x:f>SUMIFS(MonthlyCosts!$F$2:$F$49,MonthlyCosts!$A$2:$A$49,$A30,MonthlyCosts!$C$2:$C$49,$B30)</x:f>
        <x:v>9931000</x:v>
      </x:c>
      <x:c r="H30" s="14" t="n">
        <x:f>IF($B30="TRN",SUMIFS(MonthlyCosts!$F$2:$F$49,MonthlyCosts!$A$2:$A$49,$A30,MonthlyCosts!$C$2:$C$49,"HQ")-ROUND(SUMIFS(MonthlyCosts!$F$2:$F$49,MonthlyCosts!$A$2:$A$49,$A30,MonthlyCosts!$C$2:$C$49,"HQ")*Divisions!$D$2,0)-ROUND(SUMIFS(MonthlyCosts!$F$2:$F$49,MonthlyCosts!$A$2:$A$49,$A30,MonthlyCosts!$C$2:$C$49,"HQ")*Divisions!$D$3,0),ROUND(SUMIFS(MonthlyCosts!$F$2:$F$49,MonthlyCosts!$A$2:$A$49,$A30,MonthlyCosts!$C$2:$C$49,"HQ")*INDEX(Divisions!$D$2:$D$4,MATCH($B30,Divisions!$A$2:$A$4,0)),0))</x:f>
        <x:v>1530333</x:v>
      </x:c>
      <x:c r="I30" s="14" t="n">
        <x:f>F30-G30-H30</x:f>
        <x:v>2645667</x:v>
      </x:c>
      <x:c r="J30" s="14" t="n">
        <x:f>SUMIFS(Budget!$D$2:$D$37,Budget!$A$2:$A$37,$A30,Budget!$C$2:$C$37,$B30)</x:f>
        <x:v>21000000</x:v>
      </x:c>
      <x:c r="K30" s="14" t="n">
        <x:f>SUMIFS(Budget!$I$2:$I$37,Budget!$A$2:$A$37,$A30,Budget!$C$2:$C$37,$B30)</x:f>
        <x:v>4173000</x:v>
      </x:c>
      <x:c r="L30" s="10" t="n">
        <x:f>IFERROR(D30/J30,0)</x:f>
        <x:v>0.9730952380952381</x:v>
      </x:c>
      <x:c r="M30" s="10" t="n">
        <x:f>IFERROR(I30/D30,0)</x:f>
        <x:v>0.12946743332517738</x:v>
      </x:c>
    </x:row>
    <x:row r="31">
      <x:c r="A31" t="n">
        <x:v>9</x:v>
      </x:c>
      <x:c r="B31" t="str">
        <x:v>TRN</x:v>
      </x:c>
      <x:c r="C31" t="str">
        <x:v>Q3</x:v>
      </x:c>
      <x:c r="D31" s="14" t="n">
        <x:f>SUMIFS(Transactions!$H$2:$H$2000,Transactions!$B$2:$B$2000,$A31,Transactions!$D$2:$D$2000,$B31)</x:f>
        <x:v>7773000</x:v>
      </x:c>
      <x:c r="E31" s="14" t="n">
        <x:f>SUMIFS(Transactions!$L$2:$L$2000,Transactions!$B$2:$B$2000,$A31,Transactions!$D$2:$D$2000,$B31)</x:f>
        <x:v>1212000</x:v>
      </x:c>
      <x:c r="F31" s="14" t="n">
        <x:f>D31-E31</x:f>
        <x:v>6561000</x:v>
      </x:c>
      <x:c r="G31" s="14" t="n">
        <x:f>SUMIFS(MonthlyCosts!$F$2:$F$49,MonthlyCosts!$A$2:$A$49,$A31,MonthlyCosts!$C$2:$C$49,$B31)</x:f>
        <x:v>6243000</x:v>
      </x:c>
      <x:c r="H31" s="14" t="n">
        <x:f>IF($B31="TRN",SUMIFS(MonthlyCosts!$F$2:$F$49,MonthlyCosts!$A$2:$A$49,$A31,MonthlyCosts!$C$2:$C$49,"HQ")-ROUND(SUMIFS(MonthlyCosts!$F$2:$F$49,MonthlyCosts!$A$2:$A$49,$A31,MonthlyCosts!$C$2:$C$49,"HQ")*Divisions!$D$2,0)-ROUND(SUMIFS(MonthlyCosts!$F$2:$F$49,MonthlyCosts!$A$2:$A$49,$A31,MonthlyCosts!$C$2:$C$49,"HQ")*Divisions!$D$3,0),ROUND(SUMIFS(MonthlyCosts!$F$2:$F$49,MonthlyCosts!$A$2:$A$49,$A31,MonthlyCosts!$C$2:$C$49,"HQ")*INDEX(Divisions!$D$2:$D$4,MATCH($B31,Divisions!$A$2:$A$4,0)),0))</x:f>
        <x:v>1020223</x:v>
      </x:c>
      <x:c r="I31" s="14" t="n">
        <x:f>F31-G31-H31</x:f>
        <x:v>-702223</x:v>
      </x:c>
      <x:c r="J31" s="14" t="n">
        <x:f>SUMIFS(Budget!$D$2:$D$37,Budget!$A$2:$A$37,$A31,Budget!$C$2:$C$37,$B31)</x:f>
        <x:v>10088000</x:v>
      </x:c>
      <x:c r="K31" s="14" t="n">
        <x:f>SUMIFS(Budget!$I$2:$I$37,Budget!$A$2:$A$37,$A31,Budget!$C$2:$C$37,$B31)</x:f>
        <x:v>1212040</x:v>
      </x:c>
      <x:c r="L31" s="10" t="n">
        <x:f>IFERROR(D31/J31,0)</x:f>
        <x:v>0.7705194290245837</x:v>
      </x:c>
      <x:c r="M31" s="10" t="n">
        <x:f>IFERROR(I31/D31,0)</x:f>
        <x:v>-0.0903413096616493</x:v>
      </x:c>
    </x:row>
    <x:row r="32">
      <x:c r="A32" t="n">
        <x:v>10</x:v>
      </x:c>
      <x:c r="B32" t="str">
        <x:v>IT</x:v>
      </x:c>
      <x:c r="C32" t="str">
        <x:v>Q4</x:v>
      </x:c>
      <x:c r="D32" s="14" t="n">
        <x:f>SUMIFS(Transactions!$H$2:$H$2000,Transactions!$B$2:$B$2000,$A32,Transactions!$D$2:$D$2000,$B32)</x:f>
        <x:v>37570000</x:v>
      </x:c>
      <x:c r="E32" s="14" t="n">
        <x:f>SUMIFS(Transactions!$L$2:$L$2000,Transactions!$B$2:$B$2000,$A32,Transactions!$D$2:$D$2000,$B32)</x:f>
        <x:v>12991000</x:v>
      </x:c>
      <x:c r="F32" s="14" t="n">
        <x:f>D32-E32</x:f>
        <x:v>24579000</x:v>
      </x:c>
      <x:c r="G32" s="14" t="n">
        <x:f>SUMIFS(MonthlyCosts!$F$2:$F$49,MonthlyCosts!$A$2:$A$49,$A32,MonthlyCosts!$C$2:$C$49,$B32)</x:f>
        <x:v>13375000</x:v>
      </x:c>
      <x:c r="H32" s="14" t="n">
        <x:f>IF($B32="TRN",SUMIFS(MonthlyCosts!$F$2:$F$49,MonthlyCosts!$A$2:$A$49,$A32,MonthlyCosts!$C$2:$C$49,"HQ")-ROUND(SUMIFS(MonthlyCosts!$F$2:$F$49,MonthlyCosts!$A$2:$A$49,$A32,MonthlyCosts!$C$2:$C$49,"HQ")*Divisions!$D$2,0)-ROUND(SUMIFS(MonthlyCosts!$F$2:$F$49,MonthlyCosts!$A$2:$A$49,$A32,MonthlyCosts!$C$2:$C$49,"HQ")*Divisions!$D$3,0),ROUND(SUMIFS(MonthlyCosts!$F$2:$F$49,MonthlyCosts!$A$2:$A$49,$A32,MonthlyCosts!$C$2:$C$49,"HQ")*INDEX(Divisions!$D$2:$D$4,MATCH($B32,Divisions!$A$2:$A$4,0)),0))</x:f>
        <x:v>2042667</x:v>
      </x:c>
      <x:c r="I32" s="14" t="n">
        <x:f>F32-G32-H32</x:f>
        <x:v>9161333</x:v>
      </x:c>
      <x:c r="J32" s="14" t="n">
        <x:f>SUMIFS(Budget!$D$2:$D$37,Budget!$A$2:$A$37,$A32,Budget!$C$2:$C$37,$B32)</x:f>
        <x:v>29430000</x:v>
      </x:c>
      <x:c r="K32" s="14" t="n">
        <x:f>SUMIFS(Budget!$I$2:$I$37,Budget!$A$2:$A$37,$A32,Budget!$C$2:$C$37,$B32)</x:f>
        <x:v>3957500</x:v>
      </x:c>
      <x:c r="L32" s="10" t="n">
        <x:f>IFERROR(D32/J32,0)</x:f>
        <x:v>1.2765885151206253</x:v>
      </x:c>
      <x:c r="M32" s="10" t="n">
        <x:f>IFERROR(I32/D32,0)</x:f>
        <x:v>0.24384703220654777</x:v>
      </x:c>
    </x:row>
    <x:row r="33">
      <x:c r="A33" t="n">
        <x:v>10</x:v>
      </x:c>
      <x:c r="B33" t="str">
        <x:v>BPO</x:v>
      </x:c>
      <x:c r="C33" t="str">
        <x:v>Q4</x:v>
      </x:c>
      <x:c r="D33" s="14" t="n">
        <x:f>SUMIFS(Transactions!$H$2:$H$2000,Transactions!$B$2:$B$2000,$A33,Transactions!$D$2:$D$2000,$B33)</x:f>
        <x:v>20448000</x:v>
      </x:c>
      <x:c r="E33" s="14" t="n">
        <x:f>SUMIFS(Transactions!$L$2:$L$2000,Transactions!$B$2:$B$2000,$A33,Transactions!$D$2:$D$2000,$B33)</x:f>
        <x:v>7934000</x:v>
      </x:c>
      <x:c r="F33" s="14" t="n">
        <x:f>D33-E33</x:f>
        <x:v>12514000</x:v>
      </x:c>
      <x:c r="G33" s="14" t="n">
        <x:f>SUMIFS(MonthlyCosts!$F$2:$F$49,MonthlyCosts!$A$2:$A$49,$A33,MonthlyCosts!$C$2:$C$49,$B33)</x:f>
        <x:v>10603000</x:v>
      </x:c>
      <x:c r="H33" s="14" t="n">
        <x:f>IF($B33="TRN",SUMIFS(MonthlyCosts!$F$2:$F$49,MonthlyCosts!$A$2:$A$49,$A33,MonthlyCosts!$C$2:$C$49,"HQ")-ROUND(SUMIFS(MonthlyCosts!$F$2:$F$49,MonthlyCosts!$A$2:$A$49,$A33,MonthlyCosts!$C$2:$C$49,"HQ")*Divisions!$D$2,0)-ROUND(SUMIFS(MonthlyCosts!$F$2:$F$49,MonthlyCosts!$A$2:$A$49,$A33,MonthlyCosts!$C$2:$C$49,"HQ")*Divisions!$D$3,0),ROUND(SUMIFS(MonthlyCosts!$F$2:$F$49,MonthlyCosts!$A$2:$A$49,$A33,MonthlyCosts!$C$2:$C$49,"HQ")*INDEX(Divisions!$D$2:$D$4,MATCH($B33,Divisions!$A$2:$A$4,0)),0))</x:f>
        <x:v>1532000</x:v>
      </x:c>
      <x:c r="I33" s="14" t="n">
        <x:f>F33-G33-H33</x:f>
        <x:v>379000</x:v>
      </x:c>
      <x:c r="J33" s="14" t="n">
        <x:f>SUMIFS(Budget!$D$2:$D$37,Budget!$A$2:$A$37,$A33,Budget!$C$2:$C$37,$B33)</x:f>
        <x:v>21000000</x:v>
      </x:c>
      <x:c r="K33" s="14" t="n">
        <x:f>SUMIFS(Budget!$I$2:$I$37,Budget!$A$2:$A$37,$A33,Budget!$C$2:$C$37,$B33)</x:f>
        <x:v>4173000</x:v>
      </x:c>
      <x:c r="L33" s="10" t="n">
        <x:f>IFERROR(D33/J33,0)</x:f>
        <x:v>0.9737142857142858</x:v>
      </x:c>
      <x:c r="M33" s="10" t="n">
        <x:f>IFERROR(I33/D33,0)</x:f>
        <x:v>0.018534820031298905</x:v>
      </x:c>
    </x:row>
    <x:row r="34">
      <x:c r="A34" t="n">
        <x:v>10</x:v>
      </x:c>
      <x:c r="B34" t="str">
        <x:v>TRN</x:v>
      </x:c>
      <x:c r="C34" t="str">
        <x:v>Q4</x:v>
      </x:c>
      <x:c r="D34" s="14" t="n">
        <x:f>SUMIFS(Transactions!$H$2:$H$2000,Transactions!$B$2:$B$2000,$A34,Transactions!$D$2:$D$2000,$B34)</x:f>
        <x:v>8360000</x:v>
      </x:c>
      <x:c r="E34" s="14" t="n">
        <x:f>SUMIFS(Transactions!$L$2:$L$2000,Transactions!$B$2:$B$2000,$A34,Transactions!$D$2:$D$2000,$B34)</x:f>
        <x:v>1471000</x:v>
      </x:c>
      <x:c r="F34" s="14" t="n">
        <x:f>D34-E34</x:f>
        <x:v>6889000</x:v>
      </x:c>
      <x:c r="G34" s="14" t="n">
        <x:f>SUMIFS(MonthlyCosts!$F$2:$F$49,MonthlyCosts!$A$2:$A$49,$A34,MonthlyCosts!$C$2:$C$49,$B34)</x:f>
        <x:v>6251000</x:v>
      </x:c>
      <x:c r="H34" s="14" t="n">
        <x:f>IF($B34="TRN",SUMIFS(MonthlyCosts!$F$2:$F$49,MonthlyCosts!$A$2:$A$49,$A34,MonthlyCosts!$C$2:$C$49,"HQ")-ROUND(SUMIFS(MonthlyCosts!$F$2:$F$49,MonthlyCosts!$A$2:$A$49,$A34,MonthlyCosts!$C$2:$C$49,"HQ")*Divisions!$D$2,0)-ROUND(SUMIFS(MonthlyCosts!$F$2:$F$49,MonthlyCosts!$A$2:$A$49,$A34,MonthlyCosts!$C$2:$C$49,"HQ")*Divisions!$D$3,0),ROUND(SUMIFS(MonthlyCosts!$F$2:$F$49,MonthlyCosts!$A$2:$A$49,$A34,MonthlyCosts!$C$2:$C$49,"HQ")*INDEX(Divisions!$D$2:$D$4,MATCH($B34,Divisions!$A$2:$A$4,0)),0))</x:f>
        <x:v>1021333</x:v>
      </x:c>
      <x:c r="I34" s="14" t="n">
        <x:f>F34-G34-H34</x:f>
        <x:v>-383333</x:v>
      </x:c>
      <x:c r="J34" s="14" t="n">
        <x:f>SUMIFS(Budget!$D$2:$D$37,Budget!$A$2:$A$37,$A34,Budget!$C$2:$C$37,$B34)</x:f>
        <x:v>11252000</x:v>
      </x:c>
      <x:c r="K34" s="14" t="n">
        <x:f>SUMIFS(Budget!$I$2:$I$37,Budget!$A$2:$A$37,$A34,Budget!$C$2:$C$37,$B34)</x:f>
        <x:v>2178160</x:v>
      </x:c>
      <x:c r="L34" s="10" t="n">
        <x:f>IFERROR(D34/J34,0)</x:f>
        <x:v>0.742979025950942</x:v>
      </x:c>
      <x:c r="M34" s="10" t="n">
        <x:f>IFERROR(I34/D34,0)</x:f>
        <x:v>-0.04585322966507177</x:v>
      </x:c>
    </x:row>
    <x:row r="35">
      <x:c r="A35" t="n">
        <x:v>11</x:v>
      </x:c>
      <x:c r="B35" t="str">
        <x:v>IT</x:v>
      </x:c>
      <x:c r="C35" t="str">
        <x:v>Q4</x:v>
      </x:c>
      <x:c r="D35" s="14" t="n">
        <x:f>SUMIFS(Transactions!$H$2:$H$2000,Transactions!$B$2:$B$2000,$A35,Transactions!$D$2:$D$2000,$B35)</x:f>
        <x:v>18272000</x:v>
      </x:c>
      <x:c r="E35" s="14" t="n">
        <x:f>SUMIFS(Transactions!$L$2:$L$2000,Transactions!$B$2:$B$2000,$A35,Transactions!$D$2:$D$2000,$B35)</x:f>
        <x:v>6608000</x:v>
      </x:c>
      <x:c r="F35" s="14" t="n">
        <x:f>D35-E35</x:f>
        <x:v>11664000</x:v>
      </x:c>
      <x:c r="G35" s="14" t="n">
        <x:f>SUMIFS(MonthlyCosts!$F$2:$F$49,MonthlyCosts!$A$2:$A$49,$A35,MonthlyCosts!$C$2:$C$49,$B35)</x:f>
        <x:v>13392000</x:v>
      </x:c>
      <x:c r="H35" s="14" t="n">
        <x:f>IF($B35="TRN",SUMIFS(MonthlyCosts!$F$2:$F$49,MonthlyCosts!$A$2:$A$49,$A35,MonthlyCosts!$C$2:$C$49,"HQ")-ROUND(SUMIFS(MonthlyCosts!$F$2:$F$49,MonthlyCosts!$A$2:$A$49,$A35,MonthlyCosts!$C$2:$C$49,"HQ")*Divisions!$D$2,0)-ROUND(SUMIFS(MonthlyCosts!$F$2:$F$49,MonthlyCosts!$A$2:$A$49,$A35,MonthlyCosts!$C$2:$C$49,"HQ")*Divisions!$D$3,0),ROUND(SUMIFS(MonthlyCosts!$F$2:$F$49,MonthlyCosts!$A$2:$A$49,$A35,MonthlyCosts!$C$2:$C$49,"HQ")*INDEX(Divisions!$D$2:$D$4,MATCH($B35,Divisions!$A$2:$A$4,0)),0))</x:f>
        <x:v>2044889</x:v>
      </x:c>
      <x:c r="I35" s="14" t="n">
        <x:f>F35-G35-H35</x:f>
        <x:v>-3772889</x:v>
      </x:c>
      <x:c r="J35" s="14" t="n">
        <x:f>SUMIFS(Budget!$D$2:$D$37,Budget!$A$2:$A$37,$A35,Budget!$C$2:$C$37,$B35)</x:f>
        <x:v>29430000</x:v>
      </x:c>
      <x:c r="K35" s="14" t="n">
        <x:f>SUMIFS(Budget!$I$2:$I$37,Budget!$A$2:$A$37,$A35,Budget!$C$2:$C$37,$B35)</x:f>
        <x:v>3957500</x:v>
      </x:c>
      <x:c r="L35" s="10" t="n">
        <x:f>IFERROR(D35/J35,0)</x:f>
        <x:v>0.6208630648997622</x:v>
      </x:c>
      <x:c r="M35" s="10" t="n">
        <x:f>IFERROR(I35/D35,0)</x:f>
        <x:v>-0.20648473073555165</x:v>
      </x:c>
    </x:row>
    <x:row r="36">
      <x:c r="A36" t="n">
        <x:v>11</x:v>
      </x:c>
      <x:c r="B36" t="str">
        <x:v>BPO</x:v>
      </x:c>
      <x:c r="C36" t="str">
        <x:v>Q4</x:v>
      </x:c>
      <x:c r="D36" s="14" t="n">
        <x:f>SUMIFS(Transactions!$H$2:$H$2000,Transactions!$B$2:$B$2000,$A36,Transactions!$D$2:$D$2000,$B36)</x:f>
        <x:v>20071000</x:v>
      </x:c>
      <x:c r="E36" s="14" t="n">
        <x:f>SUMIFS(Transactions!$L$2:$L$2000,Transactions!$B$2:$B$2000,$A36,Transactions!$D$2:$D$2000,$B36)</x:f>
        <x:v>7665000</x:v>
      </x:c>
      <x:c r="F36" s="14" t="n">
        <x:f>D36-E36</x:f>
        <x:v>12406000</x:v>
      </x:c>
      <x:c r="G36" s="14" t="n">
        <x:f>SUMIFS(MonthlyCosts!$F$2:$F$49,MonthlyCosts!$A$2:$A$49,$A36,MonthlyCosts!$C$2:$C$49,$B36)</x:f>
        <x:v>10616000</x:v>
      </x:c>
      <x:c r="H36" s="14" t="n">
        <x:f>IF($B36="TRN",SUMIFS(MonthlyCosts!$F$2:$F$49,MonthlyCosts!$A$2:$A$49,$A36,MonthlyCosts!$C$2:$C$49,"HQ")-ROUND(SUMIFS(MonthlyCosts!$F$2:$F$49,MonthlyCosts!$A$2:$A$49,$A36,MonthlyCosts!$C$2:$C$49,"HQ")*Divisions!$D$2,0)-ROUND(SUMIFS(MonthlyCosts!$F$2:$F$49,MonthlyCosts!$A$2:$A$49,$A36,MonthlyCosts!$C$2:$C$49,"HQ")*Divisions!$D$3,0),ROUND(SUMIFS(MonthlyCosts!$F$2:$F$49,MonthlyCosts!$A$2:$A$49,$A36,MonthlyCosts!$C$2:$C$49,"HQ")*INDEX(Divisions!$D$2:$D$4,MATCH($B36,Divisions!$A$2:$A$4,0)),0))</x:f>
        <x:v>1533667</x:v>
      </x:c>
      <x:c r="I36" s="14" t="n">
        <x:f>F36-G36-H36</x:f>
        <x:v>256333</x:v>
      </x:c>
      <x:c r="J36" s="14" t="n">
        <x:f>SUMIFS(Budget!$D$2:$D$37,Budget!$A$2:$A$37,$A36,Budget!$C$2:$C$37,$B36)</x:f>
        <x:v>21000000</x:v>
      </x:c>
      <x:c r="K36" s="14" t="n">
        <x:f>SUMIFS(Budget!$I$2:$I$37,Budget!$A$2:$A$37,$A36,Budget!$C$2:$C$37,$B36)</x:f>
        <x:v>4173000</x:v>
      </x:c>
      <x:c r="L36" s="10" t="n">
        <x:f>IFERROR(D36/J36,0)</x:f>
        <x:v>0.9557619047619048</x:v>
      </x:c>
      <x:c r="M36" s="10" t="n">
        <x:f>IFERROR(I36/D36,0)</x:f>
        <x:v>0.012771311842957501</x:v>
      </x:c>
    </x:row>
    <x:row r="37">
      <x:c r="A37" t="n">
        <x:v>11</x:v>
      </x:c>
      <x:c r="B37" t="str">
        <x:v>TRN</x:v>
      </x:c>
      <x:c r="C37" t="str">
        <x:v>Q4</x:v>
      </x:c>
      <x:c r="D37" s="14" t="n">
        <x:f>SUMIFS(Transactions!$H$2:$H$2000,Transactions!$B$2:$B$2000,$A37,Transactions!$D$2:$D$2000,$B37)</x:f>
        <x:v>8744000</x:v>
      </x:c>
      <x:c r="E37" s="14" t="n">
        <x:f>SUMIFS(Transactions!$L$2:$L$2000,Transactions!$B$2:$B$2000,$A37,Transactions!$D$2:$D$2000,$B37)</x:f>
        <x:v>1626000</x:v>
      </x:c>
      <x:c r="F37" s="14" t="n">
        <x:f>D37-E37</x:f>
        <x:v>7118000</x:v>
      </x:c>
      <x:c r="G37" s="14" t="n">
        <x:f>SUMIFS(MonthlyCosts!$F$2:$F$49,MonthlyCosts!$A$2:$A$49,$A37,MonthlyCosts!$C$2:$C$49,$B37)</x:f>
        <x:v>6259000</x:v>
      </x:c>
      <x:c r="H37" s="14" t="n">
        <x:f>IF($B37="TRN",SUMIFS(MonthlyCosts!$F$2:$F$49,MonthlyCosts!$A$2:$A$49,$A37,MonthlyCosts!$C$2:$C$49,"HQ")-ROUND(SUMIFS(MonthlyCosts!$F$2:$F$49,MonthlyCosts!$A$2:$A$49,$A37,MonthlyCosts!$C$2:$C$49,"HQ")*Divisions!$D$2,0)-ROUND(SUMIFS(MonthlyCosts!$F$2:$F$49,MonthlyCosts!$A$2:$A$49,$A37,MonthlyCosts!$C$2:$C$49,"HQ")*Divisions!$D$3,0),ROUND(SUMIFS(MonthlyCosts!$F$2:$F$49,MonthlyCosts!$A$2:$A$49,$A37,MonthlyCosts!$C$2:$C$49,"HQ")*INDEX(Divisions!$D$2:$D$4,MATCH($B37,Divisions!$A$2:$A$4,0)),0))</x:f>
        <x:v>1022444</x:v>
      </x:c>
      <x:c r="I37" s="14" t="n">
        <x:f>F37-G37-H37</x:f>
        <x:v>-163444</x:v>
      </x:c>
      <x:c r="J37" s="14" t="n">
        <x:f>SUMIFS(Budget!$D$2:$D$37,Budget!$A$2:$A$37,$A37,Budget!$C$2:$C$37,$B37)</x:f>
        <x:v>11252000</x:v>
      </x:c>
      <x:c r="K37" s="14" t="n">
        <x:f>SUMIFS(Budget!$I$2:$I$37,Budget!$A$2:$A$37,$A37,Budget!$C$2:$C$37,$B37)</x:f>
        <x:v>2178160</x:v>
      </x:c>
      <x:c r="L37" s="10" t="n">
        <x:f>IFERROR(D37/J37,0)</x:f>
        <x:v>0.7771062922147174</x:v>
      </x:c>
      <x:c r="M37" s="10" t="n">
        <x:f>IFERROR(I37/D37,0)</x:f>
        <x:v>-0.01869213174748399</x:v>
      </x:c>
    </x:row>
    <x:row r="38">
      <x:c r="A38" t="n">
        <x:v>12</x:v>
      </x:c>
      <x:c r="B38" t="str">
        <x:v>IT</x:v>
      </x:c>
      <x:c r="C38" t="str">
        <x:v>Q4</x:v>
      </x:c>
      <x:c r="D38" s="14" t="n">
        <x:f>SUMIFS(Transactions!$H$2:$H$2000,Transactions!$B$2:$B$2000,$A38,Transactions!$D$2:$D$2000,$B38)</x:f>
        <x:v>25850000</x:v>
      </x:c>
      <x:c r="E38" s="14" t="n">
        <x:f>SUMIFS(Transactions!$L$2:$L$2000,Transactions!$B$2:$B$2000,$A38,Transactions!$D$2:$D$2000,$B38)</x:f>
        <x:v>9146000</x:v>
      </x:c>
      <x:c r="F38" s="14" t="n">
        <x:f>D38-E38</x:f>
        <x:v>16704000</x:v>
      </x:c>
      <x:c r="G38" s="14" t="n">
        <x:f>SUMIFS(MonthlyCosts!$F$2:$F$49,MonthlyCosts!$A$2:$A$49,$A38,MonthlyCosts!$C$2:$C$49,$B38)</x:f>
        <x:v>13410000</x:v>
      </x:c>
      <x:c r="H38" s="14" t="n">
        <x:f>IF($B38="TRN",SUMIFS(MonthlyCosts!$F$2:$F$49,MonthlyCosts!$A$2:$A$49,$A38,MonthlyCosts!$C$2:$C$49,"HQ")-ROUND(SUMIFS(MonthlyCosts!$F$2:$F$49,MonthlyCosts!$A$2:$A$49,$A38,MonthlyCosts!$C$2:$C$49,"HQ")*Divisions!$D$2,0)-ROUND(SUMIFS(MonthlyCosts!$F$2:$F$49,MonthlyCosts!$A$2:$A$49,$A38,MonthlyCosts!$C$2:$C$49,"HQ")*Divisions!$D$3,0),ROUND(SUMIFS(MonthlyCosts!$F$2:$F$49,MonthlyCosts!$A$2:$A$49,$A38,MonthlyCosts!$C$2:$C$49,"HQ")*INDEX(Divisions!$D$2:$D$4,MATCH($B38,Divisions!$A$2:$A$4,0)),0))</x:f>
        <x:v>2047111</x:v>
      </x:c>
      <x:c r="I38" s="14" t="n">
        <x:f>F38-G38-H38</x:f>
        <x:v>1246889</x:v>
      </x:c>
      <x:c r="J38" s="14" t="n">
        <x:f>SUMIFS(Budget!$D$2:$D$37,Budget!$A$2:$A$37,$A38,Budget!$C$2:$C$37,$B38)</x:f>
        <x:v>31050000</x:v>
      </x:c>
      <x:c r="K38" s="14" t="n">
        <x:f>SUMIFS(Budget!$I$2:$I$37,Budget!$A$2:$A$37,$A38,Budget!$C$2:$C$37,$B38)</x:f>
        <x:v>5010500</x:v>
      </x:c>
      <x:c r="L38" s="10" t="n">
        <x:f>IFERROR(D38/J38,0)</x:f>
        <x:v>0.8325281803542673</x:v>
      </x:c>
      <x:c r="M38" s="10" t="n">
        <x:f>IFERROR(I38/D38,0)</x:f>
        <x:v>0.04823555125725339</x:v>
      </x:c>
    </x:row>
    <x:row r="39">
      <x:c r="A39" t="n">
        <x:v>12</x:v>
      </x:c>
      <x:c r="B39" t="str">
        <x:v>BPO</x:v>
      </x:c>
      <x:c r="C39" t="str">
        <x:v>Q4</x:v>
      </x:c>
      <x:c r="D39" s="14" t="n">
        <x:f>SUMIFS(Transactions!$H$2:$H$2000,Transactions!$B$2:$B$2000,$A39,Transactions!$D$2:$D$2000,$B39)</x:f>
        <x:v>17522000</x:v>
      </x:c>
      <x:c r="E39" s="14" t="n">
        <x:f>SUMIFS(Transactions!$L$2:$L$2000,Transactions!$B$2:$B$2000,$A39,Transactions!$D$2:$D$2000,$B39)</x:f>
        <x:v>6858000</x:v>
      </x:c>
      <x:c r="F39" s="14" t="n">
        <x:f>D39-E39</x:f>
        <x:v>10664000</x:v>
      </x:c>
      <x:c r="G39" s="14" t="n">
        <x:f>SUMIFS(MonthlyCosts!$F$2:$F$49,MonthlyCosts!$A$2:$A$49,$A39,MonthlyCosts!$C$2:$C$49,$B39)</x:f>
        <x:v>10630000</x:v>
      </x:c>
      <x:c r="H39" s="14" t="n">
        <x:f>IF($B39="TRN",SUMIFS(MonthlyCosts!$F$2:$F$49,MonthlyCosts!$A$2:$A$49,$A39,MonthlyCosts!$C$2:$C$49,"HQ")-ROUND(SUMIFS(MonthlyCosts!$F$2:$F$49,MonthlyCosts!$A$2:$A$49,$A39,MonthlyCosts!$C$2:$C$49,"HQ")*Divisions!$D$2,0)-ROUND(SUMIFS(MonthlyCosts!$F$2:$F$49,MonthlyCosts!$A$2:$A$49,$A39,MonthlyCosts!$C$2:$C$49,"HQ")*Divisions!$D$3,0),ROUND(SUMIFS(MonthlyCosts!$F$2:$F$49,MonthlyCosts!$A$2:$A$49,$A39,MonthlyCosts!$C$2:$C$49,"HQ")*INDEX(Divisions!$D$2:$D$4,MATCH($B39,Divisions!$A$2:$A$4,0)),0))</x:f>
        <x:v>1535333</x:v>
      </x:c>
      <x:c r="I39" s="14" t="n">
        <x:f>F39-G39-H39</x:f>
        <x:v>-1501333</x:v>
      </x:c>
      <x:c r="J39" s="14" t="n">
        <x:f>SUMIFS(Budget!$D$2:$D$37,Budget!$A$2:$A$37,$A39,Budget!$C$2:$C$37,$B39)</x:f>
        <x:v>21000000</x:v>
      </x:c>
      <x:c r="K39" s="14" t="n">
        <x:f>SUMIFS(Budget!$I$2:$I$37,Budget!$A$2:$A$37,$A39,Budget!$C$2:$C$37,$B39)</x:f>
        <x:v>4173000</x:v>
      </x:c>
      <x:c r="L39" s="10" t="n">
        <x:f>IFERROR(D39/J39,0)</x:f>
        <x:v>0.8343809523809523</x:v>
      </x:c>
      <x:c r="M39" s="10" t="n">
        <x:f>IFERROR(I39/D39,0)</x:f>
        <x:v>-0.0856827416961534</x:v>
      </x:c>
    </x:row>
    <x:row r="40">
      <x:c r="A40" t="n">
        <x:v>12</x:v>
      </x:c>
      <x:c r="B40" t="str">
        <x:v>TRN</x:v>
      </x:c>
      <x:c r="C40" t="str">
        <x:v>Q4</x:v>
      </x:c>
      <x:c r="D40" s="14" t="n">
        <x:f>SUMIFS(Transactions!$H$2:$H$2000,Transactions!$B$2:$B$2000,$A40,Transactions!$D$2:$D$2000,$B40)</x:f>
        <x:v>10168000</x:v>
      </x:c>
      <x:c r="E40" s="14" t="n">
        <x:f>SUMIFS(Transactions!$L$2:$L$2000,Transactions!$B$2:$B$2000,$A40,Transactions!$D$2:$D$2000,$B40)</x:f>
        <x:v>1605000</x:v>
      </x:c>
      <x:c r="F40" s="14" t="n">
        <x:f>D40-E40</x:f>
        <x:v>8563000</x:v>
      </x:c>
      <x:c r="G40" s="14" t="n">
        <x:f>SUMIFS(MonthlyCosts!$F$2:$F$49,MonthlyCosts!$A$2:$A$49,$A40,MonthlyCosts!$C$2:$C$49,$B40)</x:f>
        <x:v>6267000</x:v>
      </x:c>
      <x:c r="H40" s="14" t="n">
        <x:f>IF($B40="TRN",SUMIFS(MonthlyCosts!$F$2:$F$49,MonthlyCosts!$A$2:$A$49,$A40,MonthlyCosts!$C$2:$C$49,"HQ")-ROUND(SUMIFS(MonthlyCosts!$F$2:$F$49,MonthlyCosts!$A$2:$A$49,$A40,MonthlyCosts!$C$2:$C$49,"HQ")*Divisions!$D$2,0)-ROUND(SUMIFS(MonthlyCosts!$F$2:$F$49,MonthlyCosts!$A$2:$A$49,$A40,MonthlyCosts!$C$2:$C$49,"HQ")*Divisions!$D$3,0),ROUND(SUMIFS(MonthlyCosts!$F$2:$F$49,MonthlyCosts!$A$2:$A$49,$A40,MonthlyCosts!$C$2:$C$49,"HQ")*INDEX(Divisions!$D$2:$D$4,MATCH($B40,Divisions!$A$2:$A$4,0)),0))</x:f>
        <x:v>1023556</x:v>
      </x:c>
      <x:c r="I40" s="14" t="n">
        <x:f>F40-G40-H40</x:f>
        <x:v>1272444</x:v>
      </x:c>
      <x:c r="J40" s="14" t="n">
        <x:f>SUMIFS(Budget!$D$2:$D$37,Budget!$A$2:$A$37,$A40,Budget!$C$2:$C$37,$B40)</x:f>
        <x:v>11058000</x:v>
      </x:c>
      <x:c r="K40" s="14" t="n">
        <x:f>SUMIFS(Budget!$I$2:$I$37,Budget!$A$2:$A$37,$A40,Budget!$C$2:$C$37,$B40)</x:f>
        <x:v>2017140</x:v>
      </x:c>
      <x:c r="L40" s="10" t="n">
        <x:f>IFERROR(D40/J40,0)</x:f>
        <x:v>0.9195152830529933</x:v>
      </x:c>
      <x:c r="M40" s="10" t="n">
        <x:f>IFERROR(I40/D40,0)</x:f>
        <x:v>0.1251420141620771</x:v>
      </x:c>
    </x:row>
  </x:sheetData>
  <x:mergeCells>
    <x:mergeCell ref="A1:M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25" customHeight="1">
      <x:c r="A1" s="59" t="str">
        <x:v>CONTROL &amp; RECONCILIATION | 数値整合性チェック</x:v>
      </x:c>
      <x:c r="B1" s="59"/>
      <x:c r="C1" s="59"/>
      <x:c r="D1" s="59"/>
      <x:c r="E1" s="59"/>
      <x:c r="F1" s="59"/>
    </x:row>
    <x:row r="2" ht="25" customHeight="1">
      <x:c r="A2" s="59"/>
      <x:c r="B2" s="59"/>
      <x:c r="C2" s="59"/>
      <x:c r="D2" s="59"/>
      <x:c r="E2" s="59"/>
      <x:c r="F2" s="59"/>
    </x:row>
    <x:row r="4" ht="26" customHeight="1">
      <x:c r="A4" s="5" t="str">
        <x:v>検証項目</x:v>
      </x:c>
      <x:c r="B4" s="5" t="str">
        <x:v>照合元（円・件）</x:v>
      </x:c>
      <x:c r="C4" s="5" t="str">
        <x:v>照合先（円・件）</x:v>
      </x:c>
      <x:c r="D4" s="5" t="str">
        <x:v>差異（ゼロなら合格）</x:v>
      </x:c>
    </x:row>
    <x:row r="5">
      <x:c r="A5" t="str">
        <x:v>売上:取引明細 vs 月次分析</x:v>
      </x:c>
      <x:c r="B5" s="14" t="n">
        <x:f>SUM(Transactions!H2:H2000)</x:f>
        <x:v>630867000</x:v>
      </x:c>
      <x:c r="C5" s="14" t="n">
        <x:f>SUM(Analysis!D5:D40)</x:f>
        <x:v>630867000</x:v>
      </x:c>
      <x:c r="D5" s="14" t="n">
        <x:f>B5-C5</x:f>
        <x:v>0</x:v>
      </x:c>
    </x:row>
    <x:row r="6">
      <x:c r="A6" t="str">
        <x:v>変動費:取引明細 vs 月次分析</x:v>
      </x:c>
      <x:c r="B6" s="14" t="n">
        <x:f>SUM(Transactions!L2:L2000)</x:f>
        <x:v>190938000</x:v>
      </x:c>
      <x:c r="C6" s="14" t="n">
        <x:f>SUM(Analysis!E5:E40)</x:f>
        <x:v>190938000</x:v>
      </x:c>
      <x:c r="D6" s="14" t="n">
        <x:f>B6-C6</x:f>
        <x:v>0</x:v>
      </x:c>
    </x:row>
    <x:row r="7">
      <x:c r="A7" t="str">
        <x:v>限界利益:売上-変動費</x:v>
      </x:c>
      <x:c r="B7" s="14" t="n">
        <x:f>SUM(Analysis!D5:D40)-SUM(Analysis!E5:E40)</x:f>
        <x:v>439929000</x:v>
      </x:c>
      <x:c r="C7" s="14" t="n">
        <x:f>SUM(Analysis!F5:F40)</x:f>
        <x:v>439929000</x:v>
      </x:c>
      <x:c r="D7" s="14" t="n">
        <x:f>B7-C7</x:f>
        <x:v>0</x:v>
      </x:c>
    </x:row>
    <x:row r="8">
      <x:c r="A8" t="str">
        <x:v>部門固定費:費用表 vs 分析</x:v>
      </x:c>
      <x:c r="B8" s="14" t="n">
        <x:f>SUMIF(MonthlyCosts!C2:C49,"&lt;&gt;HQ",MonthlyCosts!F2:F49)</x:f>
        <x:v>355233000</x:v>
      </x:c>
      <x:c r="C8" s="14" t="n">
        <x:f>SUM(Analysis!G5:G40)</x:f>
        <x:v>355233000</x:v>
      </x:c>
      <x:c r="D8" s="14" t="n">
        <x:f>B8-C8</x:f>
        <x:v>0</x:v>
      </x:c>
    </x:row>
    <x:row r="9">
      <x:c r="A9" t="str">
        <x:v>本社共通費:費用表 vs 配賦</x:v>
      </x:c>
      <x:c r="B9" s="14" t="n">
        <x:f>SUMIF(MonthlyCosts!C2:C49,"HQ",MonthlyCosts!F2:F49)</x:f>
        <x:v>54937000</x:v>
      </x:c>
      <x:c r="C9" s="14" t="n">
        <x:f>SUM(Analysis!H5:H40)</x:f>
        <x:v>54937000</x:v>
      </x:c>
      <x:c r="D9" s="14" t="n">
        <x:f>B9-C9</x:f>
        <x:v>0</x:v>
      </x:c>
    </x:row>
    <x:row r="10">
      <x:c r="A10" t="str">
        <x:v>営業利益:売上-総費用</x:v>
      </x:c>
      <x:c r="B10" s="14" t="n">
        <x:f>SUM(Transactions!H2:H2000)-SUM(Transactions!L2:L2000)-SUM(MonthlyCosts!F2:F49)</x:f>
        <x:v>29759000</x:v>
      </x:c>
      <x:c r="C10" s="14" t="n">
        <x:f>SUM(Analysis!I5:I40)</x:f>
        <x:v>29759000</x:v>
      </x:c>
      <x:c r="D10" s="14" t="n">
        <x:f>B10-C10</x:f>
        <x:v>0</x:v>
      </x:c>
    </x:row>
    <x:row r="11">
      <x:c r="A11" t="str">
        <x:v>売上予算:予算表 vs 分析</x:v>
      </x:c>
      <x:c r="B11" s="14" t="n">
        <x:f>SUM(Budget!D2:D37)</x:f>
        <x:v>708653000</x:v>
      </x:c>
      <x:c r="C11" s="14" t="n">
        <x:f>SUM(Analysis!J5:J40)</x:f>
        <x:v>708653000</x:v>
      </x:c>
      <x:c r="D11" s="14" t="n">
        <x:f>B11-C11</x:f>
        <x:v>0</x:v>
      </x:c>
    </x:row>
    <x:row r="12">
      <x:c r="A12" t="str">
        <x:v>営業利益予算:予算表 vs 分析</x:v>
      </x:c>
      <x:c r="B12" s="14" t="n">
        <x:f>SUM(Budget!I2:I37)</x:f>
        <x:v>100886590</x:v>
      </x:c>
      <x:c r="C12" s="14" t="n">
        <x:f>SUM(Analysis!K5:K40)</x:f>
        <x:v>100886590</x:v>
      </x:c>
      <x:c r="D12" s="14" t="n">
        <x:f>B12-C12</x:f>
        <x:v>0</x:v>
      </x:c>
    </x:row>
    <x:row r="13">
      <x:c r="A13" t="str">
        <x:v>社員数:人員構成 vs 50</x:v>
      </x:c>
      <x:c r="B13" s="14" t="n">
        <x:f>SUM(Divisions!C2:C5)</x:f>
        <x:v>50</x:v>
      </x:c>
      <x:c r="C13" s="14" t="n">
        <x:f>50</x:f>
        <x:v>50</x:v>
      </x:c>
      <x:c r="D13" s="14" t="n">
        <x:f>B13-C13</x:f>
        <x:v>0</x:v>
      </x:c>
    </x:row>
    <x:row r="14">
      <x:c r="A14" t="str">
        <x:v>取引明細:残余行数（最大2000行）</x:v>
      </x:c>
      <x:c r="B14" s="14" t="n">
        <x:f>COUNTA(Transactions!A2:A2000)</x:f>
        <x:v>608</x:v>
      </x:c>
      <x:c r="C14" s="14" t="n">
        <x:f>COUNTA(Transactions!H2:H2000)</x:f>
        <x:v>608</x:v>
      </x:c>
      <x:c r="D14" s="14" t="n">
        <x:f>B14-C14</x:f>
        <x:v>0</x:v>
      </x:c>
    </x:row>
    <x:row r="17" ht="27" customHeight="1">
      <x:c r="A17" t="str">
        <x:v>検証ステータス</x:v>
      </x:c>
      <x:c r="B17" s="62" t="str">
        <x:f>IF(SUM(ABS(D5),ABS(D6),ABS(D7),ABS(D8),ABS(D9),ABS(D10),ABS(D11),ABS(D12),ABS(D13),ABS(D14))=0,"PASS","REVIEW")</x:f>
        <x:v>PASS</x:v>
      </x:c>
    </x:row>
    <x:row r="19">
      <x:c r="A19" t="str">
        <x:v>備考</x:v>
      </x:c>
      <x:c r="B19" s="52" t="str">
        <x:v>ID重複・未知ID・変動費不一致は独立Python検算でも検証済。新規行の数式コピーを確認してください。</x:v>
      </x:c>
      <x:c r="C19" s="52"/>
      <x:c r="D19" s="52"/>
      <x:c r="E19" s="52"/>
      <x:c r="F19" s="52"/>
    </x:row>
  </x:sheetData>
  <x:mergeCells>
    <x:mergeCell ref="A1:F2"/>
    <x:mergeCell ref="B19:F19"/>
  </x:mergeCells>
  <x:conditionalFormatting sqref="D5:D14">
    <x:cfRule type="cellIs" dxfId="0" priority="1" operator="notEqual">
      <x:formula>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5" customHeight="1">
      <x:c r="A1" s="59" t="str">
        <x:v>PROJECT NOTES &amp; AI TRACE | ポートフォリオ制作記録</x:v>
      </x:c>
      <x:c r="B1" s="59"/>
      <x:c r="C1" s="59"/>
      <x:c r="D1" s="59"/>
      <x:c r="E1" s="59"/>
      <x:c r="F1" s="59"/>
      <x:c r="G1" s="59"/>
      <x:c r="H1" s="59"/>
    </x:row>
    <x:row r="2" ht="25" customHeight="1">
      <x:c r="A2" s="59"/>
      <x:c r="B2" s="59"/>
      <x:c r="C2" s="59"/>
      <x:c r="D2" s="59"/>
      <x:c r="E2" s="59"/>
      <x:c r="F2" s="59"/>
      <x:c r="G2" s="59"/>
      <x:c r="H2" s="59"/>
    </x:row>
    <x:row r="4" ht="32" customHeight="1">
      <x:c r="A4" s="37" t="str">
        <x:v>モデル設定</x:v>
      </x:c>
      <x:c r="B4" s="65" t="str">
        <x:v>2025年度 / 50名（事業45名・HQ5名） / 3事業部 / 45顧客 / 608取引。すべて完全架空。</x:v>
      </x:c>
    </x:row>
    <x:row r="5" ht="32" customHeight="1">
      <x:c r="A5" s="37" t="str">
        <x:v>会計上の定義</x:v>
      </x:c>
      <x:c r="B5" s="65" t="str">
        <x:v>営業利益 = 取引売上高 - 外注・ライセンス等変動費 - 事業部人件費等固定費 - 本社固定費。税・金利は対象外。</x:v>
      </x:c>
    </x:row>
    <x:row r="6" ht="32" customHeight="1">
      <x:c r="A6" s="37" t="str">
        <x:v>原価二重計上防止</x:v>
      </x:c>
      <x:c r="B6" s="65" t="str">
        <x:v>Transactionsの変動費に社員給与を含めない。社員給与はMonthlyCostsに一度だけ計上。</x:v>
      </x:c>
    </x:row>
    <x:row r="7" ht="32" customHeight="1">
      <x:c r="A7" s="37" t="str">
        <x:v>本社共通費配賦</x:v>
      </x:c>
      <x:c r="B7" s="65" t="str">
        <x:v>月次の本社固定費を45名の事業部員数比で配賦（IT20 / BPO15 / TRN10）。端数1円はTRN部門に調整。</x:v>
      </x:c>
    </x:row>
    <x:row r="8" ht="32" customHeight="1">
      <x:c r="A8" s="37" t="str">
        <x:v>分析期間</x:v>
      </x:c>
      <x:c r="B8" s="65" t="str">
        <x:v>期間選択は通期、Q1、Q2、Q3、Q4。部門選択は全部門、IT、BPO、TRN。</x:v>
      </x:c>
    </x:row>
    <x:row r="9" ht="32" customHeight="1">
      <x:c r="A9" s="37" t="str">
        <x:v>更新上限</x:v>
      </x:c>
      <x:c r="B9" s="65" t="str">
        <x:v>Transactionsの集計数式は2～2000行。追加取引のL列・M列数式をコピーすること。</x:v>
      </x:c>
    </x:row>
    <x:row r="10" ht="32" customHeight="1">
      <x:c r="A10" s="37" t="str">
        <x:v>仮定の独立性</x:v>
      </x:c>
      <x:c r="B10" s="65" t="str">
        <x:v>売上予算・固定費予算は事業計画値として別途設定。売上実績の単純な割合ではない。</x:v>
      </x:c>
    </x:row>
    <x:row r="11" ht="32" customHeight="1">
      <x:c r="A11" s="37" t="str">
        <x:v>AI実装 1</x:v>
      </x:c>
      <x:c r="B11" s="65" t="str">
        <x:v>架空企業・取引シナリオ・原価ルール・予算設計をAI支援で設計。人間は前提と現実性を要確認。</x:v>
      </x:c>
    </x:row>
    <x:row r="12" ht="32" customHeight="1">
      <x:c r="A12" s="37" t="str">
        <x:v>AI実装 2</x:v>
      </x:c>
      <x:c r="B12" s="65" t="str">
        <x:v>Pythonによる乱数固定（seed 20261011）のデータ生成、整合性検証、Excel数式生成。</x:v>
      </x:c>
    </x:row>
    <x:row r="13" ht="32" customHeight="1">
      <x:c r="A13" s="37" t="str">
        <x:v>AI実装 3</x:v>
      </x:c>
      <x:c r="B13" s="65" t="str">
        <x:v>PDFレポート文案・分析構成・改善提案をAI支援で作成。因果関係と施策実行可能性は人間が要検討。</x:v>
      </x:c>
    </x:row>
    <x:row r="14" ht="32" customHeight="1">
      <x:c r="A14" s="37" t="str">
        <x:v>修正履歴 1</x:v>
      </x:c>
      <x:c r="B14" s="65" t="str">
        <x:v>費用配賦の円単位端数不一致を検出 → TRN部門へ差額調整し、配賦合計を完全一致させた。</x:v>
      </x:c>
    </x:row>
    <x:row r="15" ht="32" customHeight="1">
      <x:c r="A15" s="37" t="str">
        <x:v>修正履歴 2</x:v>
      </x:c>
      <x:c r="B15" s="65" t="str">
        <x:v>初回の売上予算が実績比で過大だったため、実績を変えずに架空事前計画の予算前提を調整した。</x:v>
      </x:c>
    </x:row>
    <x:row r="16" ht="32" customHeight="1">
      <x:c r="A16" s="37" t="str">
        <x:v>確認対象</x:v>
      </x:c>
      <x:c r="B16" s="65" t="str">
        <x:v>架空であることの表示、データの更新動作、Excelでの再計算、商用利用前の実データ移行・個人情報管理。</x:v>
      </x:c>
    </x:row>
    <x:row r="17" ht="32" customHeight="1">
      <x:c r="A17" s="37" t="str">
        <x:v>成果物</x:v>
      </x:c>
      <x:c r="B17" s="65" t="str">
        <x:v>Excelダッシュボード / 3ページ経営レポート（PDF） / 制作・検算ログ（TXT）</x:v>
      </x:c>
    </x:row>
  </x:sheetData>
  <x:mergeCells>
    <x:mergeCell ref="A1:H2"/>
  </x:mergeCells>
  <x:pageMargins left="0.7" right="0.7" top="0.75" bottom="0.75" header="0.3" footer="0.3"/>
</x:worksheet>
</file>